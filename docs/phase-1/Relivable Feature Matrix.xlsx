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eature Matrix" sheetId="2" state="visible" r:id="rId4"/>
    <sheet name="Summary" sheetId="3" state="visible" r:id="rId5"/>
    <sheet name="Store Catalogue" sheetId="4" state="visible" r:id="rId6"/>
    <sheet name="Budget" sheetId="5" state="visible" r:id="rId7"/>
    <sheet name="Roadmap" sheetId="6" state="visible" r:id="rId8"/>
    <sheet name="KPIs" sheetId="7" state="visible" r:id="rId9"/>
  </sheets>
  <definedNames>
    <definedName function="false" hidden="true" localSheetId="1" name="_xlnm._FilterDatabase" vbProcedure="false">'Feature Matrix'!$A$1:$M$461</definedName>
    <definedName function="false" hidden="true" localSheetId="6" name="_xlnm._FilterDatabase" vbProcedure="false">KPIs!$A$4:$G$49</definedName>
    <definedName function="false" hidden="true" localSheetId="3" name="_xlnm._FilterDatabase" vbProcedure="false">'Store Catalogue'!$A$4:$H$22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<sst xmlns="http://schemas.openxmlformats.org/spreadsheetml/2006/main" count="6407" uniqueCount="2462">
  <si>
    <t xml:space="preserve">Relivable (working title) - Feature Matrix</t>
  </si>
  <si>
    <t xml:space="preserve">Date</t>
  </si>
  <si>
    <t xml:space="preserve">2026-10-26</t>
  </si>
  <si>
    <t xml:space="preserve">Status</t>
  </si>
  <si>
    <t xml:space="preserve">Phase 1 planning draft for client review. Estimates, not quotes or forecasts.</t>
  </si>
  <si>
    <t xml:space="preserve">Purpose</t>
  </si>
  <si>
    <t xml:space="preserve">One client-ready view of every Relivable feature against BitLife, with priority, effort, access (free vs paid) and source, plus the store catalogue, budget, roadmap and KPIs from the Phase 1 vault.</t>
  </si>
  <si>
    <t xml:space="preserve">Sources</t>
  </si>
  <si>
    <t xml:space="preserve">docs/phase-1: _Concept Brief; 04 App Breakdown - Core Life Systems; 04 App Breakdown - Social, Meta and Premium; 06 Monetization and Economy; 11 Roadmap Team and Budget; 12 Risks and KPIs.</t>
  </si>
  <si>
    <t xml:space="preserve">Sheets</t>
  </si>
  <si>
    <t xml:space="preserve">Feature Matrix</t>
  </si>
  <si>
    <t xml:space="preserve">One row per feature or sub-feature across all 10 Core modules and 14 Social/Meta/Premium modules. Filters, frozen header, dropdowns and colour coding.</t>
  </si>
  <si>
    <t xml:space="preserve">Summary</t>
  </si>
  <si>
    <t xml:space="preserve">Live COUNTIFS: Module x Priority, Status, Access x Priority, and the fair-forever check (no career/core-system row is Plus or Pack).</t>
  </si>
  <si>
    <t xml:space="preserve">Store Catalogue</t>
  </si>
  <si>
    <t xml:space="preserve">Products, prices, contents and type from note 06, plus rewarded-ad placements and price checks.</t>
  </si>
  <si>
    <t xml:space="preserve">Budget</t>
  </si>
  <si>
    <t xml:space="preserve">Per-phase line items (Low / High / US reference) with SUM totals and the cumulative total to launch; LiveOps monthly run rate.</t>
  </si>
  <si>
    <t xml:space="preserve">Roadmap</t>
  </si>
  <si>
    <t xml:space="preserve">Phases, dates, gates, deliverables, exit criteria, Gantt tasks and team FTE per role.</t>
  </si>
  <si>
    <t xml:space="preserve">KPIs</t>
  </si>
  <si>
    <t xml:space="preserve">KPI, definition, target, benchmark and source for North Star, acquisition, engagement, retention, monetisation and quality.</t>
  </si>
  <si>
    <t xml:space="preserve">Feature Matrix columns</t>
  </si>
  <si>
    <t xml:space="preserve">ID</t>
  </si>
  <si>
    <t xml:space="preserve">MODULE-SUB-NNN. CORE-xx = Core Life Systems note; SOC-xx = Social, Meta and Premium note. Codes: CC character creation, ST stats/traits, CL core loop/storylets, ED education, CA careers, MO money/business, AS assets/home, CR crime/justice, HE health/death, WO countries/world; RE relationships, LO love/marriage, CH children, GE generations/dynasty, FA fame, PE pets, AC Activities hub, ID identity, AR achievements/Titles/Recap, CE challenges/events, AS async social/Creator Mode, PR premium/editor, AI AI Storyteller, SE settings/accessibility/safety.</t>
  </si>
  <si>
    <t xml:space="preserve">Module</t>
  </si>
  <si>
    <t xml:space="preserve">Module name as in the 04 notes (dropdown list = Summary!A6:A29).</t>
  </si>
  <si>
    <t xml:space="preserve">Feature</t>
  </si>
  <si>
    <t xml:space="preserve">Feature or sub-feature name.</t>
  </si>
  <si>
    <t xml:space="preserve">Description</t>
  </si>
  <si>
    <t xml:space="preserve">Short description of the Relivable design.</t>
  </si>
  <si>
    <t xml:space="preserve">BitLife equivalent</t>
  </si>
  <si>
    <t xml:space="preserve">What BitLife does today as last documented in research; 'Not documented' = no source found; 'None' = no equivalent (monetisation or add-on rows).</t>
  </si>
  <si>
    <t xml:space="preserve">Status vs BitLife</t>
  </si>
  <si>
    <t xml:space="preserve">Parity = matches BitLife's documented feature (redesigned UI). Improved = same idea, meaningfully better (free where BitLife charges, clearer, deeper). New = not documented in BitLife.</t>
  </si>
  <si>
    <t xml:space="preserve">Player value (1-5)</t>
  </si>
  <si>
    <t xml:space="preserve">Analyst estimate of player-facing value: 1 = minor polish, 2 = nice to have, 3 = solid feature, 4 = major draw, 5 = pillar-defining. Not from player data.</t>
  </si>
  <si>
    <t xml:space="preserve">Effort</t>
  </si>
  <si>
    <t xml:space="preserve">Analyst T-shirt estimate of build + content effort: S = under 1 week, M = 1-3 weeks, L = 1-2 months, XL = 2+ months or cross-cutting. To be re-estimated after the Phase 2 prototype.</t>
  </si>
  <si>
    <t xml:space="preserve">Priority</t>
  </si>
  <si>
    <t xml:space="preserve">Proto = Phase 2 vertical slice (birth to 30, ~150 events). MVP = Phase 3 soft launch (full life cycle, 1,500+ events). Launch = Phase 4 global launch (parity + 'better', 5 languages). LiveOps = Phase 5, after launch. Proto items are also in MVP.</t>
  </si>
  <si>
    <t xml:space="preserve">Access</t>
  </si>
  <si>
    <t xml:space="preserve">Free = base game for everyone. Plus = one-time Relivable Plus (~$9.99) or the No Ads / Plus Upgrade path. Pack = one-off paid content: Story Packs ($2.99-3.99), cosmetic sets, Welcome Pack, bundles. Season = optional Season Pass ($4.99). Ad = optional, capped rewarded ad (rewarded-only, max 4 per session and 8 per day).</t>
  </si>
  <si>
    <t xml:space="preserve">Dependencies</t>
  </si>
  <si>
    <t xml:space="preserve">Other modules (by code) or documents the feature relies on.</t>
  </si>
  <si>
    <t xml:space="preserve">Source note</t>
  </si>
  <si>
    <t xml:space="preserve">Note and section the row comes from. '(priority inferred)' = the note describes the feature but its priority table does not list it, so the priority was assigned by the analyst from context.</t>
  </si>
  <si>
    <t xml:space="preserve">Career / core system?</t>
  </si>
  <si>
    <t xml:space="preserve">Added audit column (a fair-forever check). Yes = the row is a career, a core life system, or an always-free player protection (accessibility, identity, restore). Under pillar 3 every Yes row must be Free; the Summary check counts violations. No = add-ons such as editor tools, Rewind, cosmetics, storylines, ad boosts and generations 5-8.</t>
  </si>
  <si>
    <t xml:space="preserve">Colour coding</t>
  </si>
  <si>
    <t xml:space="preserve">Priority colours</t>
  </si>
  <si>
    <t xml:space="preserve">Proto = lavender, MVP = green, Launch = blue, LiveOps = peach.</t>
  </si>
  <si>
    <t xml:space="preserve">Access colours</t>
  </si>
  <si>
    <t xml:space="preserve">Free = green, Plus = gold, Pack = salmon, Season = blue, Ad = grey. A red 'Career / core system?' cell means a Yes row is Plus or Pack (a pillar-3 violation).</t>
  </si>
  <si>
    <t xml:space="preserve">Other sheets</t>
  </si>
  <si>
    <t xml:space="preserve">Blue text = hardcoded input copied from a source note; black text = formula.</t>
  </si>
  <si>
    <t xml:space="preserve">Resolved decisions applied</t>
  </si>
  <si>
    <t xml:space="preserve">Search bar</t>
  </si>
  <si>
    <t xml:space="preserve">Search / command bar sits at the bottom of the hub (thumb zone).</t>
  </si>
  <si>
    <t xml:space="preserve">Life Titles</t>
  </si>
  <si>
    <t xml:space="preserve">End-of-life awards are called 'Life Titles' (replace BitLife ribbons).</t>
  </si>
  <si>
    <t xml:space="preserve">Sparks</t>
  </si>
  <si>
    <t xml:space="preserve">One earn-only soft currency, 'Sparks'; never sold, no premium currency.</t>
  </si>
  <si>
    <t xml:space="preserve">Ads</t>
  </si>
  <si>
    <t xml:space="preserve">Rewarded-only, opt-in, capped at 4 per session and 8 per day (90 s cooldown).</t>
  </si>
  <si>
    <t xml:space="preserve">Generations</t>
  </si>
  <si>
    <t xml:space="preserve">Every dynasty is capped at 8 generations. Free = founder + 3 heirs (Generation 4); Plus extends to Generation 8. At the cap the dynasty is completed and saved; new dynasties are unlimited.</t>
  </si>
  <si>
    <t xml:space="preserve">Rewind</t>
  </si>
  <si>
    <t xml:space="preserve">1 free per life + 1 per day via rewarded ad; unlimited in Plus; never sold per use.</t>
  </si>
  <si>
    <t xml:space="preserve">Fair forever</t>
  </si>
  <si>
    <t xml:space="preserve">All careers and core systems are free. Packs and seasons add storylines and cosmetics only.</t>
  </si>
  <si>
    <t xml:space="preserve">Evidence caveat</t>
  </si>
  <si>
    <t xml:space="preserve">BitLife facts</t>
  </si>
  <si>
    <t xml:space="preserve">Built from search-result snippets of fan guides and vendor pages (page fetching and Reddit were blocked). Treat them as last-documented behaviour, not the live 2026 build.</t>
  </si>
  <si>
    <t xml:space="preserve">Relivable numbers</t>
  </si>
  <si>
    <t xml:space="preserve">Every Relivable value (odds, caps, prices, budgets, KPI targets) is a starting design value or estimate to be tuned in the Phase 2 prototype, the simulator bot and soft launch. Prices are planning tiers; budgets exclude user acquisition.</t>
  </si>
  <si>
    <t xml:space="preserve">Value and effort</t>
  </si>
  <si>
    <t xml:space="preserve">Player value and effort columns are analyst estimates made for this matrix, not taken from the source notes.</t>
  </si>
  <si>
    <t xml:space="preserve">Settled details</t>
  </si>
  <si>
    <t xml:space="preserve">Plus save slots: 10 (free 3). Season length: about 13 weeks. Trusts for minors: MVP. Player born a twin: creation toggle at MVP, twin storylines at Launch. Web shop: Launch (Phase 4). Phase 5 team: 7.5-9.0 FTE.</t>
  </si>
  <si>
    <t xml:space="preserve">Live counts</t>
  </si>
  <si>
    <t xml:space="preserve">Feature rows</t>
  </si>
  <si>
    <t xml:space="preserve">Fair-forever check</t>
  </si>
  <si>
    <t xml:space="preserve">CORE-CC-001</t>
  </si>
  <si>
    <t xml:space="preserve">Character creation</t>
  </si>
  <si>
    <t xml:space="preserve">"Surprise me" random life</t>
  </si>
  <si>
    <t xml:space="preserve">One-tap fully random life from the three-door New Life sheet</t>
  </si>
  <si>
    <t xml:space="preserve">Random new life</t>
  </si>
  <si>
    <t xml:space="preserve">Parity</t>
  </si>
  <si>
    <t xml:space="preserve">S</t>
  </si>
  <si>
    <t xml:space="preserve">Proto</t>
  </si>
  <si>
    <t xml:space="preserve">Free</t>
  </si>
  <si>
    <t xml:space="preserve">CORE-ST, CORE-WO</t>
  </si>
  <si>
    <t xml:space="preserve">04 Core, Module 1 (Priority and access table)</t>
  </si>
  <si>
    <t xml:space="preserve">Yes</t>
  </si>
  <si>
    <t xml:space="preserve">CORE-CC-002</t>
  </si>
  <si>
    <t xml:space="preserve">Custom life builder (name, gender, country, city)</t>
  </si>
  <si>
    <t xml:space="preserve">Progressive stepper (Identity, Place and time, Family, Traits, Review) with a re-roll dice per step</t>
  </si>
  <si>
    <t xml:space="preserve">Custom People builder</t>
  </si>
  <si>
    <t xml:space="preserve">Improved</t>
  </si>
  <si>
    <t xml:space="preserve">M</t>
  </si>
  <si>
    <t xml:space="preserve">CORE-CC-003</t>
  </si>
  <si>
    <t xml:space="preserve">Live preview card and life forecast</t>
  </si>
  <si>
    <t xml:space="preserve">Baby avatar, family summary and one-line forecast update as choices change</t>
  </si>
  <si>
    <t xml:space="preserve">None documented</t>
  </si>
  <si>
    <t xml:space="preserve">New</t>
  </si>
  <si>
    <t xml:space="preserve">MVP</t>
  </si>
  <si>
    <t xml:space="preserve">SOC-ID avatar</t>
  </si>
  <si>
    <t xml:space="preserve">04 Core, Module 1 (redesign; priority inferred)</t>
  </si>
  <si>
    <t xml:space="preserve">CORE-CC-004</t>
  </si>
  <si>
    <t xml:space="preserve">Family setup presets</t>
  </si>
  <si>
    <t xml:space="preserve">Wealthy, modest, struggling, single parent, two mums, two dads, grandparents, foster care, adopted at birth</t>
  </si>
  <si>
    <t xml:space="preserve">Random chance of same-sex parents</t>
  </si>
  <si>
    <t xml:space="preserve">SOC-LO, SOC-CH</t>
  </si>
  <si>
    <t xml:space="preserve">CORE-CC-005</t>
  </si>
  <si>
    <t xml:space="preserve">Twins and triplets at creation</t>
  </si>
  <si>
    <t xml:space="preserve">Toggle to start life as a twin or triplet with siblings set up</t>
  </si>
  <si>
    <t xml:space="preserve">None documented (player request)</t>
  </si>
  <si>
    <t xml:space="preserve">SOC-CH</t>
  </si>
  <si>
    <t xml:space="preserve">04 Core, Module 1 (Social note lists player twins at Launch; Core table used)</t>
  </si>
  <si>
    <t xml:space="preserve">CORE-CC-006</t>
  </si>
  <si>
    <t xml:space="preserve">Starting traits and flaw</t>
  </si>
  <si>
    <t xml:space="preserve">2 starting traits + 1 flaw, picked or rolled, optional hidden trait revealed later</t>
  </si>
  <si>
    <t xml:space="preserve">CORE-ST</t>
  </si>
  <si>
    <t xml:space="preserve">CORE-CC-007</t>
  </si>
  <si>
    <t xml:space="preserve">Talent hint</t>
  </si>
  <si>
    <t xml:space="preserve">Optional talent (music, sport, art, maths, languages) raises one hidden stat cap by 15</t>
  </si>
  <si>
    <t xml:space="preserve">04 Core, Module 1 (priority inferred)</t>
  </si>
  <si>
    <t xml:space="preserve">CORE-CC-008</t>
  </si>
  <si>
    <t xml:space="preserve">Seed codes (generate, enter, share, QR)</t>
  </si>
  <si>
    <t xml:space="preserve">Human-readable EL- seed on Review, death screen and recap; reproduces the start</t>
  </si>
  <si>
    <t xml:space="preserve">CORE-CL, SOC-CE</t>
  </si>
  <si>
    <t xml:space="preserve">CORE-CC-009</t>
  </si>
  <si>
    <t xml:space="preserve">Daily Seed</t>
  </si>
  <si>
    <t xml:space="preserve">One curated seed per day for everyone</t>
  </si>
  <si>
    <t xml:space="preserve">SOC-CE</t>
  </si>
  <si>
    <t xml:space="preserve">CORE-CC-010</t>
  </si>
  <si>
    <t xml:space="preserve">Difficulty presets and Ironman</t>
  </si>
  <si>
    <t xml:space="preserve">Gentle, Standard, Harsh; Ironman toggle disables Rewind and earns a badge</t>
  </si>
  <si>
    <t xml:space="preserve">CORE-CL</t>
  </si>
  <si>
    <t xml:space="preserve">CORE-CC-011</t>
  </si>
  <si>
    <t xml:space="preserve">Era mode start year</t>
  </si>
  <si>
    <t xml:space="preserve">Choose a start year 1900-2040 in decade steps; era gates tech, jobs and laws</t>
  </si>
  <si>
    <t xml:space="preserve">L</t>
  </si>
  <si>
    <t xml:space="preserve">Launch</t>
  </si>
  <si>
    <t xml:space="preserve">CORE-WO</t>
  </si>
  <si>
    <t xml:space="preserve">CORE-CC-012</t>
  </si>
  <si>
    <t xml:space="preserve">Cast library (20 slots)</t>
  </si>
  <si>
    <t xml:space="preserve">Save custom people and place them as parents, siblings or NPCs in any life</t>
  </si>
  <si>
    <t xml:space="preserve">Saved custom characters</t>
  </si>
  <si>
    <t xml:space="preserve">SOC-RE</t>
  </si>
  <si>
    <t xml:space="preserve">CORE-CC-013</t>
  </si>
  <si>
    <t xml:space="preserve">Cast library unlimited slots</t>
  </si>
  <si>
    <t xml:space="preserve">Removes the 20-slot cap</t>
  </si>
  <si>
    <t xml:space="preserve">None</t>
  </si>
  <si>
    <t xml:space="preserve">Plus</t>
  </si>
  <si>
    <t xml:space="preserve">CORE-CC, SOC-PR</t>
  </si>
  <si>
    <t xml:space="preserve">No</t>
  </si>
  <si>
    <t xml:space="preserve">CORE-CC-014</t>
  </si>
  <si>
    <t xml:space="preserve">Accessible avatar builder</t>
  </si>
  <si>
    <t xml:space="preserve">Every appearance choice has a text label; "Describe my avatar" reads the full look</t>
  </si>
  <si>
    <t xml:space="preserve">Appearance edits only via paid God Mode</t>
  </si>
  <si>
    <t xml:space="preserve">SOC-ID, SOC-SE</t>
  </si>
  <si>
    <t xml:space="preserve">CORE-CC-015</t>
  </si>
  <si>
    <t xml:space="preserve">Edit hidden stats and caps at creation</t>
  </si>
  <si>
    <t xml:space="preserve">Editor tool to set hidden stats and potential caps before birth</t>
  </si>
  <si>
    <t xml:space="preserve">God Mode (paid)</t>
  </si>
  <si>
    <t xml:space="preserve">SOC-PR Destiny Mode</t>
  </si>
  <si>
    <t xml:space="preserve">CORE-CC-016</t>
  </si>
  <si>
    <t xml:space="preserve">Curated scenario seeds (free rotation)</t>
  </si>
  <si>
    <t xml:space="preserve">Original scenario starts (e.g. "The Lighthouse Kid") in a free rotation</t>
  </si>
  <si>
    <t xml:space="preserve">Scenario Creator (v1.18, details undocumented)</t>
  </si>
  <si>
    <t xml:space="preserve">LiveOps</t>
  </si>
  <si>
    <t xml:space="preserve">CORE-CC-017</t>
  </si>
  <si>
    <t xml:space="preserve">Scenario pack starts</t>
  </si>
  <si>
    <t xml:space="preserve">Extra curated scenario starts sold inside Story Packs</t>
  </si>
  <si>
    <t xml:space="preserve">Pack</t>
  </si>
  <si>
    <t xml:space="preserve">SOC-PR</t>
  </si>
  <si>
    <t xml:space="preserve">CORE-ST-001</t>
  </si>
  <si>
    <t xml:space="preserve">Stats and traits</t>
  </si>
  <si>
    <t xml:space="preserve">Four visible stats with numbers and trends</t>
  </si>
  <si>
    <t xml:space="preserve">Happiness, Health, Smarts, Looks as numbered, colour-blind-safe bars with yearly trend arrows</t>
  </si>
  <si>
    <t xml:space="preserve">Four bars without numbers</t>
  </si>
  <si>
    <t xml:space="preserve">04 Core, Module 2 (Priority and access table)</t>
  </si>
  <si>
    <t xml:space="preserve">CORE-ST-002</t>
  </si>
  <si>
    <t xml:space="preserve">"Why did this change?" stat history</t>
  </si>
  <si>
    <t xml:space="preserve">Tap any stat for its last 5 changes and causes</t>
  </si>
  <si>
    <t xml:space="preserve">04 Core, Module 2 (acceptance criteria; priority inferred)</t>
  </si>
  <si>
    <t xml:space="preserve">CORE-ST-003</t>
  </si>
  <si>
    <t xml:space="preserve">Core hidden stats, discoverable</t>
  </si>
  <si>
    <t xml:space="preserve">Karma, Willpower, Discipline, Fertility, Impulsivity, Athleticism learned through play and shown as bands</t>
  </si>
  <si>
    <t xml:space="preserve">Hidden stats visible only via paid God Mode</t>
  </si>
  <si>
    <t xml:space="preserve">CORE-ST-004</t>
  </si>
  <si>
    <t xml:space="preserve">Extended hidden stats</t>
  </si>
  <si>
    <t xml:space="preserve">Charisma, Creativity, Cunning, Luck, Resilience, Musicality</t>
  </si>
  <si>
    <t xml:space="preserve">CORE-ED, CORE-CA</t>
  </si>
  <si>
    <t xml:space="preserve">CORE-ST-005</t>
  </si>
  <si>
    <t xml:space="preserve">Context meters</t>
  </si>
  <si>
    <t xml:space="preserve">Grades, Popularity, Stress, Fitness, Fame, Respect, Notoriety, Credit score, Faith shown only when relevant</t>
  </si>
  <si>
    <t xml:space="preserve">Fame, Respect, Street Cred, Grades, Popularity, Stress meters</t>
  </si>
  <si>
    <t xml:space="preserve">CORE-ED, CORE-CA, CORE-MO</t>
  </si>
  <si>
    <t xml:space="preserve">04 Core, Module 2 (priority inferred)</t>
  </si>
  <si>
    <t xml:space="preserve">CORE-ST-006</t>
  </si>
  <si>
    <t xml:space="preserve">Relationship % with bands</t>
  </si>
  <si>
    <t xml:space="preserve">Numeric relationship value with band label (Estranged to Devoted) on every NPC card</t>
  </si>
  <si>
    <t xml:space="preserve">Relationship bars without numbers</t>
  </si>
  <si>
    <t xml:space="preserve">CORE-ST-007</t>
  </si>
  <si>
    <t xml:space="preserve">Starting traits and flaws</t>
  </si>
  <si>
    <t xml:space="preserve">About 23 original traits with plain-language effects</t>
  </si>
  <si>
    <t xml:space="preserve">CORE-CC</t>
  </si>
  <si>
    <t xml:space="preserve">CORE-ST-008</t>
  </si>
  <si>
    <t xml:space="preserve">Acquired and legacy traits, trait conflicts</t>
  </si>
  <si>
    <t xml:space="preserve">Traits earned or lost by behaviour, inherited by children; opposites cannot coexist</t>
  </si>
  <si>
    <t xml:space="preserve">SOC-GE</t>
  </si>
  <si>
    <t xml:space="preserve">CORE-ST-009</t>
  </si>
  <si>
    <t xml:space="preserve">Pinned HUD stats</t>
  </si>
  <si>
    <t xml:space="preserve">Pin up to 2 extra stats or meters next to the core four</t>
  </si>
  <si>
    <t xml:space="preserve">SOC-SE</t>
  </si>
  <si>
    <t xml:space="preserve">CORE-ST-010</t>
  </si>
  <si>
    <t xml:space="preserve">Hidden values revealed on Life Recap</t>
  </si>
  <si>
    <t xml:space="preserve">Exact hidden values shown free after the life ends</t>
  </si>
  <si>
    <t xml:space="preserve">SOC-AR</t>
  </si>
  <si>
    <t xml:space="preserve">04 Core, Module 2 (redesign; priority inferred)</t>
  </si>
  <si>
    <t xml:space="preserve">CORE-ST-011</t>
  </si>
  <si>
    <t xml:space="preserve">Exact hidden values and stat/trait editing in-life</t>
  </si>
  <si>
    <t xml:space="preserve">See exact numbers and edit stats and traits during a life</t>
  </si>
  <si>
    <t xml:space="preserve">CORE-CL-001</t>
  </si>
  <si>
    <t xml:space="preserve">Core loop and storylet engine</t>
  </si>
  <si>
    <t xml:space="preserve">Age +1 one-tap year tick</t>
  </si>
  <si>
    <t xml:space="preserve">Biggest thumb-zone button advances a year; classic rhythm kept</t>
  </si>
  <si>
    <t xml:space="preserve">Age button</t>
  </si>
  <si>
    <t xml:space="preserve">04 Core, Module 3 (Priority and access table)</t>
  </si>
  <si>
    <t xml:space="preserve">CORE-CL-002</t>
  </si>
  <si>
    <t xml:space="preserve">Year summary card</t>
  </si>
  <si>
    <t xml:space="preserve">One compact card of events, stat changes, money and relationships instead of a pop-up stack</t>
  </si>
  <si>
    <t xml:space="preserve">Stack of random pop-ups</t>
  </si>
  <si>
    <t xml:space="preserve">CORE-MO</t>
  </si>
  <si>
    <t xml:space="preserve">CORE-CL-003</t>
  </si>
  <si>
    <t xml:space="preserve">Storylet engine (conditions, weights, cooldowns)</t>
  </si>
  <si>
    <t xml:space="preserve">Data-driven events with eligibility, weighted sampling and follow-ups</t>
  </si>
  <si>
    <t xml:space="preserve">Mostly self-contained random events</t>
  </si>
  <si>
    <t xml:space="preserve">XL</t>
  </si>
  <si>
    <t xml:space="preserve">Content pipeline, CORE-WO</t>
  </si>
  <si>
    <t xml:space="preserve">CORE-CL-004</t>
  </si>
  <si>
    <t xml:space="preserve">NPC memory</t>
  </si>
  <si>
    <t xml:space="preserve">Up to 24 memories per NPC with valence, intensity and decay that drive opinion</t>
  </si>
  <si>
    <t xml:space="preserve">CORE-CL-005</t>
  </si>
  <si>
    <t xml:space="preserve">Callbacks (delayed consequences)</t>
  </si>
  <si>
    <t xml:space="preserve">Scheduled consequences 1-40 years later; due callbacks fire first</t>
  </si>
  <si>
    <t xml:space="preserve">CORE-CL storylet engine</t>
  </si>
  <si>
    <t xml:space="preserve">CORE-CL-006</t>
  </si>
  <si>
    <t xml:space="preserve">Energy action budget with Classic toggle</t>
  </si>
  <si>
    <t xml:space="preserve">10 energy per year for big actions; Classic setting removes it; never sold</t>
  </si>
  <si>
    <t xml:space="preserve">Unlimited actions per year</t>
  </si>
  <si>
    <t xml:space="preserve">SOC-AC</t>
  </si>
  <si>
    <t xml:space="preserve">04 Core, Module 3 (Proto to test; Proposal)</t>
  </si>
  <si>
    <t xml:space="preserve">CORE-CL-007</t>
  </si>
  <si>
    <t xml:space="preserve">Locked choices with reasons</t>
  </si>
  <si>
    <t xml:space="preserve">Unavailable choices stay visible, greyed, with the unmet requirement</t>
  </si>
  <si>
    <t xml:space="preserve">Silent failures, "too early" messages</t>
  </si>
  <si>
    <t xml:space="preserve">04 Core, global rule 1 (priority inferred)</t>
  </si>
  <si>
    <t xml:space="preserve">CORE-CL-008</t>
  </si>
  <si>
    <t xml:space="preserve">"Why it went this way" outcome breakdown</t>
  </si>
  <si>
    <t xml:space="preserve">Top 2-4 factors shown after any roll with real stakes</t>
  </si>
  <si>
    <t xml:space="preserve">CORE-ST roll formula</t>
  </si>
  <si>
    <t xml:space="preserve">04 Core, global rule 2 (priority inferred)</t>
  </si>
  <si>
    <t xml:space="preserve">CORE-CL-009</t>
  </si>
  <si>
    <t xml:space="preserve">Choice risk hints</t>
  </si>
  <si>
    <t xml:space="preserve">Each choice shows a hint icon for its main risk or stat</t>
  </si>
  <si>
    <t xml:space="preserve">04 Core, Module 3 engine rules (priority inferred)</t>
  </si>
  <si>
    <t xml:space="preserve">CORE-CL-010</t>
  </si>
  <si>
    <t xml:space="preserve">Life chapters and dynamic chapter titles</t>
  </si>
  <si>
    <t xml:space="preserve">Years grouped into named chapters renamed by dominant theme</t>
  </si>
  <si>
    <t xml:space="preserve">CORE-CL-011</t>
  </si>
  <si>
    <t xml:space="preserve">Chapter goals</t>
  </si>
  <si>
    <t xml:space="preserve">3 optional goals per chapter that feed dynasty goals</t>
  </si>
  <si>
    <t xml:space="preserve">CORE-CL-012</t>
  </si>
  <si>
    <t xml:space="preserve">Life Timeline</t>
  </si>
  <si>
    <t xml:space="preserve">Scrollable, filterable history of every year with starred moments</t>
  </si>
  <si>
    <t xml:space="preserve">SOC-AR, SOC-SE</t>
  </si>
  <si>
    <t xml:space="preserve">CORE-CL-013</t>
  </si>
  <si>
    <t xml:space="preserve">Pacing director</t>
  </si>
  <si>
    <t xml:space="preserve">Drama meter balances calm and dramatic years</t>
  </si>
  <si>
    <t xml:space="preserve">CORE-CL-014</t>
  </si>
  <si>
    <t xml:space="preserve">Cross-life freshness weighting</t>
  </si>
  <si>
    <t xml:space="preserve">Storylets seen in recent lives get lower weight to cut repetition</t>
  </si>
  <si>
    <t xml:space="preserve">CORE-CL-015</t>
  </si>
  <si>
    <t xml:space="preserve">Seasons (finer time steps)</t>
  </si>
  <si>
    <t xml:space="preserve">Optional 4 steps per year for chapters like university, campaigns or prison</t>
  </si>
  <si>
    <t xml:space="preserve">CORE-ED, CORE-CR</t>
  </si>
  <si>
    <t xml:space="preserve">CORE-CL-016</t>
  </si>
  <si>
    <t xml:space="preserve">Long scenes in Ink/Yarn (initial set)</t>
  </si>
  <si>
    <t xml:space="preserve">A few hand-written long scenes (wedding, trial, coronation)</t>
  </si>
  <si>
    <t xml:space="preserve">Content pipeline</t>
  </si>
  <si>
    <t xml:space="preserve">CORE-CL-017</t>
  </si>
  <si>
    <t xml:space="preserve">Long scenes in Ink/Yarn (expanded)</t>
  </si>
  <si>
    <t xml:space="preserve">More long scenes at global launch</t>
  </si>
  <si>
    <t xml:space="preserve">CORE-CL-018</t>
  </si>
  <si>
    <t xml:space="preserve">Deterministic RNG streams</t>
  </si>
  <si>
    <t xml:space="preserve">Split RNG streams so the same seed and choices give the same life</t>
  </si>
  <si>
    <t xml:space="preserve">CORE-CC seeds</t>
  </si>
  <si>
    <t xml:space="preserve">04 Core, Module 1 rules (priority inferred)</t>
  </si>
  <si>
    <t xml:space="preserve">CORE-CL-019</t>
  </si>
  <si>
    <t xml:space="preserve">Content validator and simulator bot</t>
  </si>
  <si>
    <t xml:space="preserve">Schema, reachability, localisation and rating checks; 10,000 simulated lives per release</t>
  </si>
  <si>
    <t xml:space="preserve">08 Technical Architecture</t>
  </si>
  <si>
    <t xml:space="preserve">04 Core, Module 3; 11 Roadmap Phase 2</t>
  </si>
  <si>
    <t xml:space="preserve">CORE-CL-020</t>
  </si>
  <si>
    <t xml:space="preserve">Remote content delivery</t>
  </si>
  <si>
    <t xml:space="preserve">Storylets, countries and careers shipped as remote data without app updates</t>
  </si>
  <si>
    <t xml:space="preserve">04 Core, global rule 5 (priority inferred)</t>
  </si>
  <si>
    <t xml:space="preserve">CORE-CL-021</t>
  </si>
  <si>
    <t xml:space="preserve">Free Rewind allowance (1 per life)</t>
  </si>
  <si>
    <t xml:space="preserve">Rewind to an earlier year once per life for free; disabled in Ironman lives</t>
  </si>
  <si>
    <t xml:space="preserve">Time Machine sold per use (~$0.99)</t>
  </si>
  <si>
    <t xml:space="preserve">Resolved decision: 1 free per life</t>
  </si>
  <si>
    <t xml:space="preserve">CORE-CL-022</t>
  </si>
  <si>
    <t xml:space="preserve">Extra Rewind via rewarded ad (1 per day)</t>
  </si>
  <si>
    <t xml:space="preserve">One additional Rewind a day from an opt-in rewarded ad</t>
  </si>
  <si>
    <t xml:space="preserve">Time Machine sold per use</t>
  </si>
  <si>
    <t xml:space="preserve">Ad</t>
  </si>
  <si>
    <t xml:space="preserve">SOC-PR ad framework</t>
  </si>
  <si>
    <t xml:space="preserve">Resolved decision: +1/day via ad</t>
  </si>
  <si>
    <t xml:space="preserve">CORE-CL-023</t>
  </si>
  <si>
    <t xml:space="preserve">Unlimited Rewind</t>
  </si>
  <si>
    <t xml:space="preserve">Rewind from the timeline at any time</t>
  </si>
  <si>
    <t xml:space="preserve">CORE-ED-001</t>
  </si>
  <si>
    <t xml:space="preserve">Childhood and education</t>
  </si>
  <si>
    <t xml:space="preserve">Early childhood events (0-4)</t>
  </si>
  <si>
    <t xml:space="preserve">Temperament hints, first words, daycare, early reading with parents, playdates</t>
  </si>
  <si>
    <t xml:space="preserve">Minimal baby years</t>
  </si>
  <si>
    <t xml:space="preserve">04 Core, Module 4 (priority inferred)</t>
  </si>
  <si>
    <t xml:space="preserve">CORE-ED-002</t>
  </si>
  <si>
    <t xml:space="preserve">Primary school with letter grades and report cards</t>
  </si>
  <si>
    <t xml:space="preserve">Subjects with explained letter grades; yearly report card hints at hidden stats</t>
  </si>
  <si>
    <t xml:space="preserve">Grades seeded from Smarts</t>
  </si>
  <si>
    <t xml:space="preserve">04 Core, Module 4 (Priority and access table)</t>
  </si>
  <si>
    <t xml:space="preserve">CORE-ED-003</t>
  </si>
  <si>
    <t xml:space="preserve">Secondary school with explained grades</t>
  </si>
  <si>
    <t xml:space="preserve">Grades show contributions (Smarts, effort, attendance, teacher, Stress)</t>
  </si>
  <si>
    <t xml:space="preserve">Grades and school actions</t>
  </si>
  <si>
    <t xml:space="preserve">CORE-ED-004</t>
  </si>
  <si>
    <t xml:space="preserve">Popularity meter</t>
  </si>
  <si>
    <t xml:space="preserve">0-100 popularity from cliques, sports, looks, charisma; decays toward 40</t>
  </si>
  <si>
    <t xml:space="preserve">Popularity (v1.23)</t>
  </si>
  <si>
    <t xml:space="preserve">CORE-ED-005</t>
  </si>
  <si>
    <t xml:space="preserve">Cliques (10 original)</t>
  </si>
  <si>
    <t xml:space="preserve">Bookworms, Varsity Crew, Stage Kids and more, each with a clear entry rule and perks</t>
  </si>
  <si>
    <t xml:space="preserve">Cliques unlocked by popularity</t>
  </si>
  <si>
    <t xml:space="preserve">CORE-ED-006</t>
  </si>
  <si>
    <t xml:space="preserve">Teacher NPCs with relationship % and memory</t>
  </si>
  <si>
    <t xml:space="preserve">4-6 named teachers; ask for help, extensions, recommendation letters</t>
  </si>
  <si>
    <t xml:space="preserve">Student-teacher interactions</t>
  </si>
  <si>
    <t xml:space="preserve">CORE-ED-007</t>
  </si>
  <si>
    <t xml:space="preserve">Bullying with support options</t>
  </si>
  <si>
    <t xml:space="preserve">Report, counsellor, friends, stand up, switch cliques or schools; sensitive copy rules</t>
  </si>
  <si>
    <t xml:space="preserve">Bullying</t>
  </si>
  <si>
    <t xml:space="preserve">09 Compliance</t>
  </si>
  <si>
    <t xml:space="preserve">CORE-ED-008</t>
  </si>
  <si>
    <t xml:space="preserve">Cheating with explained detection</t>
  </si>
  <si>
    <t xml:space="preserve">Copy, crib notes, buy answers; teachers remember</t>
  </si>
  <si>
    <t xml:space="preserve">Cheating on tests</t>
  </si>
  <si>
    <t xml:space="preserve">CORE-ST Cunning</t>
  </si>
  <si>
    <t xml:space="preserve">CORE-ED-009</t>
  </si>
  <si>
    <t xml:space="preserve">Skipping, detention, suspension, expulsion</t>
  </si>
  <si>
    <t xml:space="preserve">Discipline outcomes with parent reactions</t>
  </si>
  <si>
    <t xml:space="preserve">Partly documented</t>
  </si>
  <si>
    <t xml:space="preserve">CORE-ED-010</t>
  </si>
  <si>
    <t xml:space="preserve">After-school lessons</t>
  </si>
  <si>
    <t xml:space="preserve">Instrument, sport, art, language, coding, dance, martial arts paid by parents</t>
  </si>
  <si>
    <t xml:space="preserve">SOC-CH parenting</t>
  </si>
  <si>
    <t xml:space="preserve">CORE-ED-011</t>
  </si>
  <si>
    <t xml:space="preserve">Electives (2 per year)</t>
  </si>
  <si>
    <t xml:space="preserve">Music, art, drama, coding, shop, languages, debate and more raise admission odds</t>
  </si>
  <si>
    <t xml:space="preserve">CORE-CA</t>
  </si>
  <si>
    <t xml:space="preserve">CORE-ED-012</t>
  </si>
  <si>
    <t xml:space="preserve">Clubs and sports seasons with tryouts</t>
  </si>
  <si>
    <t xml:space="preserve">Tryouts, match results, captaincy, championships</t>
  </si>
  <si>
    <t xml:space="preserve">Sports teams</t>
  </si>
  <si>
    <t xml:space="preserve">CORE-ST Athleticism</t>
  </si>
  <si>
    <t xml:space="preserve">CORE-ED-013</t>
  </si>
  <si>
    <t xml:space="preserve">Exams and test scores</t>
  </si>
  <si>
    <t xml:space="preserve">Mid-year, end-of-year and national exams with a decision-mode alternative</t>
  </si>
  <si>
    <t xml:space="preserve">Intelligence-test mini-game</t>
  </si>
  <si>
    <t xml:space="preserve">CORE-ED-014</t>
  </si>
  <si>
    <t xml:space="preserve">University admissions, tiers and majors</t>
  </si>
  <si>
    <t xml:space="preserve">Apply to up to 5 universities in 3 tiers; rejections list the weakest factors</t>
  </si>
  <si>
    <t xml:space="preserve">University paid by parents, loans or scholarships</t>
  </si>
  <si>
    <t xml:space="preserve">CORE-ED-015</t>
  </si>
  <si>
    <t xml:space="preserve">Scholarships (5 types)</t>
  </si>
  <si>
    <t xml:space="preserve">Merit, athletic, arts, need-based and community scholarships</t>
  </si>
  <si>
    <t xml:space="preserve">Scholarships</t>
  </si>
  <si>
    <t xml:space="preserve">CORE-ED-016</t>
  </si>
  <si>
    <t xml:space="preserve">Student loans with servicing</t>
  </si>
  <si>
    <t xml:space="preserve">Interest, repayment, credit impact and garnishment by country</t>
  </si>
  <si>
    <t xml:space="preserve">Student loans</t>
  </si>
  <si>
    <t xml:space="preserve">CORE-ED-017</t>
  </si>
  <si>
    <t xml:space="preserve">Graduate schools (all)</t>
  </si>
  <si>
    <t xml:space="preserve">Medical, law, MBA, dental, pharmacy, nursing, vet, engineering, PhD, film, architecture, teaching</t>
  </si>
  <si>
    <t xml:space="preserve">Law, medical, business, dental, pharmacy, nursing, vet</t>
  </si>
  <si>
    <t xml:space="preserve">CORE-ED-018</t>
  </si>
  <si>
    <t xml:space="preserve">PhD, postdoc and residency</t>
  </si>
  <si>
    <t xml:space="preserve">Research and medical residency storylets</t>
  </si>
  <si>
    <t xml:space="preserve">Not documented</t>
  </si>
  <si>
    <t xml:space="preserve">CORE-ED-019</t>
  </si>
  <si>
    <t xml:space="preserve">Pathways view</t>
  </si>
  <si>
    <t xml:space="preserve">One in-game table of major, graduate school and career requirements</t>
  </si>
  <si>
    <t xml:space="preserve">Requirements argued over in fan guides</t>
  </si>
  <si>
    <t xml:space="preserve">CORE-ED-020</t>
  </si>
  <si>
    <t xml:space="preserve">Community college with transfer</t>
  </si>
  <si>
    <t xml:space="preserve">Open admission, associate degree, transfer with credits at GPA 3.0+</t>
  </si>
  <si>
    <t xml:space="preserve">CORE-ED-021</t>
  </si>
  <si>
    <t xml:space="preserve">Trade school and apprenticeship</t>
  </si>
  <si>
    <t xml:space="preserve">Electrician, plumber, mechanic, chef, beautician routes</t>
  </si>
  <si>
    <t xml:space="preserve">CORE-ED-022</t>
  </si>
  <si>
    <t xml:space="preserve">Dropping out and equivalency exam</t>
  </si>
  <si>
    <t xml:space="preserve">Leave at the legal age; take the equivalency exam at any later age</t>
  </si>
  <si>
    <t xml:space="preserve">CORE-ED-023</t>
  </si>
  <si>
    <t xml:space="preserve">Gap year and post-secondary choices</t>
  </si>
  <si>
    <t xml:space="preserve">Gap year, workforce, military or further study</t>
  </si>
  <si>
    <t xml:space="preserve">CORE-ED-024</t>
  </si>
  <si>
    <t xml:space="preserve">Special schools</t>
  </si>
  <si>
    <t xml:space="preserve">Private, boarding, military academy, performing-arts, religious school, homeschooling</t>
  </si>
  <si>
    <t xml:space="preserve">Private and boarding school (weakly documented)</t>
  </si>
  <si>
    <t xml:space="preserve">CORE-ED-025</t>
  </si>
  <si>
    <t xml:space="preserve">Study abroad, internships, societies, student government</t>
  </si>
  <si>
    <t xml:space="preserve">Campus life extras that feed careers</t>
  </si>
  <si>
    <t xml:space="preserve">CORE-ED-026</t>
  </si>
  <si>
    <t xml:space="preserve">School events (prom, science fair, talent show, graduation speech)</t>
  </si>
  <si>
    <t xml:space="preserve">Non-explicit school milestone events</t>
  </si>
  <si>
    <t xml:space="preserve">SOC-LO</t>
  </si>
  <si>
    <t xml:space="preserve">CORE-ED-027</t>
  </si>
  <si>
    <t xml:space="preserve">Reunions (callbacks)</t>
  </si>
  <si>
    <t xml:space="preserve">School reunions reopen childhood memories</t>
  </si>
  <si>
    <t xml:space="preserve">CORE-CL callbacks</t>
  </si>
  <si>
    <t xml:space="preserve">CORE-ED-028</t>
  </si>
  <si>
    <t xml:space="preserve">Adult education</t>
  </si>
  <si>
    <t xml:space="preserve">Night school, online degrees and retraining at any age</t>
  </si>
  <si>
    <t xml:space="preserve">CORE-ED-029</t>
  </si>
  <si>
    <t xml:space="preserve">Extra school storylines</t>
  </si>
  <si>
    <t xml:space="preserve">Story Pack arcs such as a boarding-school mystery</t>
  </si>
  <si>
    <t xml:space="preserve">CORE-CA-001</t>
  </si>
  <si>
    <t xml:space="preserve">Careers and jobs</t>
  </si>
  <si>
    <t xml:space="preserve">Chores and allowance (6-12)</t>
  </si>
  <si>
    <t xml:space="preserve">Parents pay small amounts; teaches money storylets</t>
  </si>
  <si>
    <t xml:space="preserve">04 Core, Module 5 (priority inferred)</t>
  </si>
  <si>
    <t xml:space="preserve">CORE-CA-002</t>
  </si>
  <si>
    <t xml:space="preserve">Freelance gigs with reputation</t>
  </si>
  <si>
    <t xml:space="preserve">Babysitting, tutoring, design, coding; reviews build a reputation score</t>
  </si>
  <si>
    <t xml:space="preserve">Freelance from about 13-14</t>
  </si>
  <si>
    <t xml:space="preserve">04 Core, Module 5 (Priority and access table)</t>
  </si>
  <si>
    <t xml:space="preserve">CORE-CA-003</t>
  </si>
  <si>
    <t xml:space="preserve">Part-time jobs</t>
  </si>
  <si>
    <t xml:space="preserve">10-25 hours a week alongside school; affects grades via Stress</t>
  </si>
  <si>
    <t xml:space="preserve">Part-time from 14/16</t>
  </si>
  <si>
    <t xml:space="preserve">CORE-ED</t>
  </si>
  <si>
    <t xml:space="preserve">CORE-CA-004</t>
  </si>
  <si>
    <t xml:space="preserve">Full-time jobs with career ladders</t>
  </si>
  <si>
    <t xml:space="preserve">Ranks, salary bands by country and era, requirements for the next rank</t>
  </si>
  <si>
    <t xml:space="preserve">Ordinary jobs</t>
  </si>
  <si>
    <t xml:space="preserve">CORE-ED, CORE-WO</t>
  </si>
  <si>
    <t xml:space="preserve">CORE-CA-005</t>
  </si>
  <si>
    <t xml:space="preserve">Visible performance meter and promotion odds</t>
  </si>
  <si>
    <t xml:space="preserve">Performance 0-100 with the factors that move it; promotion formula</t>
  </si>
  <si>
    <t xml:space="preserve">Work harder, promotions by tenure</t>
  </si>
  <si>
    <t xml:space="preserve">CORE-CA-006</t>
  </si>
  <si>
    <t xml:space="preserve">Raises, hours, resignation and firing with reasons</t>
  </si>
  <si>
    <t xml:space="preserve">Every firing or rejection explains why and how to improve</t>
  </si>
  <si>
    <t xml:space="preserve">Ask for a raise, request hours, resign</t>
  </si>
  <si>
    <t xml:space="preserve">CORE-CA-007</t>
  </si>
  <si>
    <t xml:space="preserve">Job board with filters</t>
  </si>
  <si>
    <t xml:space="preserve">Filter by salary, hours, education, location, remote; command-bar shortcut</t>
  </si>
  <si>
    <t xml:space="preserve">Job listings</t>
  </si>
  <si>
    <t xml:space="preserve">SOC-AC search</t>
  </si>
  <si>
    <t xml:space="preserve">CORE-CA-008</t>
  </si>
  <si>
    <t xml:space="preserve">Job interviews (3-question scene)</t>
  </si>
  <si>
    <t xml:space="preserve">Answers scored by stats and traits; best and worst answers shown</t>
  </si>
  <si>
    <t xml:space="preserve">Interviews (v1.21)</t>
  </si>
  <si>
    <t xml:space="preserve">CORE-CA-009</t>
  </si>
  <si>
    <t xml:space="preserve">Colleagues and boss with memory</t>
  </si>
  <si>
    <t xml:space="preserve">3-6 named NPCs; office politics, mentors, rivals, HR reports</t>
  </si>
  <si>
    <t xml:space="preserve">Co-workers, supervisors, HR</t>
  </si>
  <si>
    <t xml:space="preserve">CORE-CA-010</t>
  </si>
  <si>
    <t xml:space="preserve">Retirement and pensions</t>
  </si>
  <si>
    <t xml:space="preserve">Employer pension, state pension and retirement accounts</t>
  </si>
  <si>
    <t xml:space="preserve">Pension after about 20 years</t>
  </si>
  <si>
    <t xml:space="preserve">CORE-MO, CORE-WO</t>
  </si>
  <si>
    <t xml:space="preserve">CORE-CA-011</t>
  </si>
  <si>
    <t xml:space="preserve">Unemployment benefits</t>
  </si>
  <si>
    <t xml:space="preserve">Country tables (for example 40-70% of salary for 6-12 months)</t>
  </si>
  <si>
    <t xml:space="preserve">CORE-CA-012</t>
  </si>
  <si>
    <t xml:space="preserve">Burnout events</t>
  </si>
  <si>
    <t xml:space="preserve">Stress above 80 for 2 years forces leave or a performance drop</t>
  </si>
  <si>
    <t xml:space="preserve">Job Stress (v1.22)</t>
  </si>
  <si>
    <t xml:space="preserve">CORE-CA-013</t>
  </si>
  <si>
    <t xml:space="preserve">Big-break events for special careers</t>
  </si>
  <si>
    <t xml:space="preserve">3-8% yearly breaks near the next tier, always explained</t>
  </si>
  <si>
    <t xml:space="preserve">CORE-CA-014</t>
  </si>
  <si>
    <t xml:space="preserve">Apprenticeships and volunteering</t>
  </si>
  <si>
    <t xml:space="preserve">Paid trade training; unpaid volunteering for Karma and résumé</t>
  </si>
  <si>
    <t xml:space="preserve">CORE-CA-015</t>
  </si>
  <si>
    <t xml:space="preserve">Actor career</t>
  </si>
  <si>
    <t xml:space="preserve">Audition scenes, role offers, typecasting, award season</t>
  </si>
  <si>
    <t xml:space="preserve">Actor job pack (paid, Boss Mode)</t>
  </si>
  <si>
    <t xml:space="preserve">CORE-ED, SOC-FA</t>
  </si>
  <si>
    <t xml:space="preserve">CORE-CA-016</t>
  </si>
  <si>
    <t xml:space="preserve">Musician career</t>
  </si>
  <si>
    <t xml:space="preserve">Songwriting quality rolls, releases, tours, band members with memory</t>
  </si>
  <si>
    <t xml:space="preserve">Musician job pack (paid)</t>
  </si>
  <si>
    <t xml:space="preserve">CORE-CA-017</t>
  </si>
  <si>
    <t xml:space="preserve">Athlete career</t>
  </si>
  <si>
    <t xml:space="preserve">Season sim with results, injuries, contracts, retirement age by sport</t>
  </si>
  <si>
    <t xml:space="preserve">Athlete job pack (paid)</t>
  </si>
  <si>
    <t xml:space="preserve">CORE-ED, CORE-HE</t>
  </si>
  <si>
    <t xml:space="preserve">CORE-CA-018</t>
  </si>
  <si>
    <t xml:space="preserve">Model career</t>
  </si>
  <si>
    <t xml:space="preserve">Castings and brand deals incl. niche categories; body-image care</t>
  </si>
  <si>
    <t xml:space="preserve">Model job pack (paid)</t>
  </si>
  <si>
    <t xml:space="preserve">SOC-FA</t>
  </si>
  <si>
    <t xml:space="preserve">CORE-CA-019</t>
  </si>
  <si>
    <t xml:space="preserve">Politician career</t>
  </si>
  <si>
    <t xml:space="preserve">Campaigns, fundraising, debates, polls, scandals, term limits by country</t>
  </si>
  <si>
    <t xml:space="preserve">Politician job pack / Political mode (paid)</t>
  </si>
  <si>
    <t xml:space="preserve">CORE-WO, SOC-FA</t>
  </si>
  <si>
    <t xml:space="preserve">CORE-CA-020</t>
  </si>
  <si>
    <t xml:space="preserve">Military career</t>
  </si>
  <si>
    <t xml:space="preserve">Enlisted and officer ranks, deployments, medals, veteran benefits</t>
  </si>
  <si>
    <t xml:space="preserve">Military with deployments (v1.20)</t>
  </si>
  <si>
    <t xml:space="preserve">CORE-WO draft</t>
  </si>
  <si>
    <t xml:space="preserve">CORE-CA-021</t>
  </si>
  <si>
    <t xml:space="preserve">Police officer and detective career</t>
  </si>
  <si>
    <t xml:space="preserve">Police academy, case files solved with clue choices, internal affairs</t>
  </si>
  <si>
    <t xml:space="preserve">Regular job (weakly documented)</t>
  </si>
  <si>
    <t xml:space="preserve">CORE-CR</t>
  </si>
  <si>
    <t xml:space="preserve">CORE-CA-022</t>
  </si>
  <si>
    <t xml:space="preserve">Lawyer and judge career</t>
  </si>
  <si>
    <t xml:space="preserve">Represent NPCs and the player, case wins, rulings with Karma effects</t>
  </si>
  <si>
    <t xml:space="preserve">CORE-CA-023</t>
  </si>
  <si>
    <t xml:space="preserve">Doctor and surgeon career</t>
  </si>
  <si>
    <t xml:space="preserve">Diagnosis and surgery decision scenes, malpractice risk</t>
  </si>
  <si>
    <t xml:space="preserve">CORE-HE</t>
  </si>
  <si>
    <t xml:space="preserve">CORE-CA-024</t>
  </si>
  <si>
    <t xml:space="preserve">Pilot career</t>
  </si>
  <si>
    <t xml:space="preserve">Flight school, licence medicals, weather and emergency events</t>
  </si>
  <si>
    <t xml:space="preserve">CORE-AS licences</t>
  </si>
  <si>
    <t xml:space="preserve">CORE-CA-025</t>
  </si>
  <si>
    <t xml:space="preserve">Influencer career</t>
  </si>
  <si>
    <t xml:space="preserve">Posts, brand deals, controversy, algorithm changes</t>
  </si>
  <si>
    <t xml:space="preserve">Social media star</t>
  </si>
  <si>
    <t xml:space="preserve">CORE-CA-026</t>
  </si>
  <si>
    <t xml:space="preserve">Chef career</t>
  </si>
  <si>
    <t xml:space="preserve">Menu creation, critic reviews, kitchen drama, restaurant link</t>
  </si>
  <si>
    <t xml:space="preserve">CORE-CA-027</t>
  </si>
  <si>
    <t xml:space="preserve">Business owner / CEO career</t>
  </si>
  <si>
    <t xml:space="preserve">Founder or executive ladder into the full business simulation</t>
  </si>
  <si>
    <t xml:space="preserve">Business job pack (paid)</t>
  </si>
  <si>
    <t xml:space="preserve">CORE-CA-028</t>
  </si>
  <si>
    <t xml:space="preserve">Street hustler career</t>
  </si>
  <si>
    <t xml:space="preserve">Busking and street selling; illegal hustles 18+ and toggle-gated</t>
  </si>
  <si>
    <t xml:space="preserve">Street Hustler job pack (paid)</t>
  </si>
  <si>
    <t xml:space="preserve">CORE-CA-029</t>
  </si>
  <si>
    <t xml:space="preserve">Royalty duties career</t>
  </si>
  <si>
    <t xml:space="preserve">Respect meter, duties, scandals, succession, abdication</t>
  </si>
  <si>
    <t xml:space="preserve">Royalty by birth or marriage</t>
  </si>
  <si>
    <t xml:space="preserve">CORE-CA-030</t>
  </si>
  <si>
    <t xml:space="preserve">Astronaut career</t>
  </si>
  <si>
    <t xml:space="preserve">Selection rounds, training, risky missions with fame</t>
  </si>
  <si>
    <t xml:space="preserve">Astronaut job pack (paid)</t>
  </si>
  <si>
    <t xml:space="preserve">CORE-CA-031</t>
  </si>
  <si>
    <t xml:space="preserve">Secret agent career</t>
  </si>
  <si>
    <t xml:space="preserve">Missions as decision scenes with cover identities and double-agent risk</t>
  </si>
  <si>
    <t xml:space="preserve">Secret Agent pack (paid)</t>
  </si>
  <si>
    <t xml:space="preserve">CORE-CA-032</t>
  </si>
  <si>
    <t xml:space="preserve">Zookeeper career</t>
  </si>
  <si>
    <t xml:space="preserve">Animal welfare meter, escapes, breeding programmes, visitors</t>
  </si>
  <si>
    <t xml:space="preserve">Zoo pack (paid)</t>
  </si>
  <si>
    <t xml:space="preserve">SOC-PE</t>
  </si>
  <si>
    <t xml:space="preserve">CORE-CA-033</t>
  </si>
  <si>
    <t xml:space="preserve">Movie director career</t>
  </si>
  <si>
    <t xml:space="preserve">Genre, script, cast with memory, budget, festivals and awards</t>
  </si>
  <si>
    <t xml:space="preserve">Movie Director mode (paid)</t>
  </si>
  <si>
    <t xml:space="preserve">CORE-CA-034</t>
  </si>
  <si>
    <t xml:space="preserve">Fighter (combat sports) career</t>
  </si>
  <si>
    <t xml:space="preserve">Fight camps, move-set choices, injuries, drug-test risk</t>
  </si>
  <si>
    <t xml:space="preserve">Ultimate Fighter pack (paid)</t>
  </si>
  <si>
    <t xml:space="preserve">CORE-CA-035</t>
  </si>
  <si>
    <t xml:space="preserve">Writer / author career</t>
  </si>
  <si>
    <t xml:space="preserve">Manuscript quality, publishers, film-rights callbacks</t>
  </si>
  <si>
    <t xml:space="preserve">CORE-ST Creativity</t>
  </si>
  <si>
    <t xml:space="preserve">CORE-CA-036</t>
  </si>
  <si>
    <t xml:space="preserve">Artist career</t>
  </si>
  <si>
    <t xml:space="preserve">Create and sell works, galleries, collectors</t>
  </si>
  <si>
    <t xml:space="preserve">CORE-AS collectibles</t>
  </si>
  <si>
    <t xml:space="preserve">CORE-CA-037</t>
  </si>
  <si>
    <t xml:space="preserve">Firefighter career</t>
  </si>
  <si>
    <t xml:space="preserve">Call-outs and rescues with Karma and hero badges</t>
  </si>
  <si>
    <t xml:space="preserve">CORE-CA-038</t>
  </si>
  <si>
    <t xml:space="preserve">Clergy career (across faiths)</t>
  </si>
  <si>
    <t xml:space="preserve">Novice to senior; vows and crises of faith handled respectfully</t>
  </si>
  <si>
    <t xml:space="preserve">Monk/Nun careers</t>
  </si>
  <si>
    <t xml:space="preserve">CORE-WO religion</t>
  </si>
  <si>
    <t xml:space="preserve">CORE-CA-039</t>
  </si>
  <si>
    <t xml:space="preserve">Comedian career</t>
  </si>
  <si>
    <t xml:space="preserve">Write sets, heckler scenes, specials</t>
  </si>
  <si>
    <t xml:space="preserve">CORE-ST Charisma</t>
  </si>
  <si>
    <t xml:space="preserve">CORE-CA-040</t>
  </si>
  <si>
    <t xml:space="preserve">Fashion designer career</t>
  </si>
  <si>
    <t xml:space="preserve">Collections, runway shows, trend cycles</t>
  </si>
  <si>
    <t xml:space="preserve">CORE-CA-041</t>
  </si>
  <si>
    <t xml:space="preserve">Private investigator career</t>
  </si>
  <si>
    <t xml:space="preserve">Client cases, surveillance, ethics</t>
  </si>
  <si>
    <t xml:space="preserve">CORE-CA-042</t>
  </si>
  <si>
    <t xml:space="preserve">Organised-crime career</t>
  </si>
  <si>
    <t xml:space="preserve">Associate to Boss in original factions; toggle-gated</t>
  </si>
  <si>
    <t xml:space="preserve">Mafia job pack (paid)</t>
  </si>
  <si>
    <t xml:space="preserve">CORE-CA-043</t>
  </si>
  <si>
    <t xml:space="preserve">Teacher / professor career</t>
  </si>
  <si>
    <t xml:space="preserve">Students as NPCs who remember you decades later</t>
  </si>
  <si>
    <t xml:space="preserve">CORE-CA-044</t>
  </si>
  <si>
    <t xml:space="preserve">Unions and strikes</t>
  </si>
  <si>
    <t xml:space="preserve">Join or start a union; strike storylets</t>
  </si>
  <si>
    <t xml:space="preserve">CORE-CA-045</t>
  </si>
  <si>
    <t xml:space="preserve">Sabbaticals and remote work</t>
  </si>
  <si>
    <t xml:space="preserve">Request remote work or a sabbatical</t>
  </si>
  <si>
    <t xml:space="preserve">CORE-CA-046</t>
  </si>
  <si>
    <t xml:space="preserve">Career changes, retraining and relocation</t>
  </si>
  <si>
    <t xml:space="preserve">Switch careers, retrain or move for a job</t>
  </si>
  <si>
    <t xml:space="preserve">CORE-CA-047</t>
  </si>
  <si>
    <t xml:space="preserve">Story Pack storylines for jobs</t>
  </si>
  <si>
    <t xml:space="preserve">Pack arcs inside free careers (e.g. a world-tour arc); career always complete without it</t>
  </si>
  <si>
    <t xml:space="preserve">Job packs sell the career itself</t>
  </si>
  <si>
    <t xml:space="preserve">CORE-MO-001</t>
  </si>
  <si>
    <t xml:space="preserve">Money, business and investing</t>
  </si>
  <si>
    <t xml:space="preserve">Bank and savings accounts</t>
  </si>
  <si>
    <t xml:space="preserve">Current, savings, retirement, joint and child accounts; cash vs bank</t>
  </si>
  <si>
    <t xml:space="preserve">Bank balance</t>
  </si>
  <si>
    <t xml:space="preserve">04 Core, Module 6 (Priority and access table)</t>
  </si>
  <si>
    <t xml:space="preserve">CORE-MO-002</t>
  </si>
  <si>
    <t xml:space="preserve">Salary, living costs, simple taxes and net worth</t>
  </si>
  <si>
    <t xml:space="preserve">Automatic income and costs; net worth formula</t>
  </si>
  <si>
    <t xml:space="preserve">Salary, net worth, basic taxes</t>
  </si>
  <si>
    <t xml:space="preserve">CORE-MO-003</t>
  </si>
  <si>
    <t xml:space="preserve">Yearly cash-flow breakdown</t>
  </si>
  <si>
    <t xml:space="preserve">Income, taxes, living costs, debt and savings on every year summary</t>
  </si>
  <si>
    <t xml:space="preserve">CORE-CL year summary</t>
  </si>
  <si>
    <t xml:space="preserve">04 Core, Module 6 (acceptance criteria; priority inferred)</t>
  </si>
  <si>
    <t xml:space="preserve">CORE-MO-004</t>
  </si>
  <si>
    <t xml:space="preserve">Budget lifestyle tiers</t>
  </si>
  <si>
    <t xml:space="preserve">Housing, food, lifestyle, transport, savings, giving, insurance tiers with effects</t>
  </si>
  <si>
    <t xml:space="preserve">CORE-MO-005</t>
  </si>
  <si>
    <t xml:space="preserve">Loans (student, personal, auto, mortgage, business, payday, family)</t>
  </si>
  <si>
    <t xml:space="preserve">Rates by credit score; repossession and debt-spiral warnings</t>
  </si>
  <si>
    <t xml:space="preserve">Loans and mortgages</t>
  </si>
  <si>
    <t xml:space="preserve">CORE-AS</t>
  </si>
  <si>
    <t xml:space="preserve">CORE-MO-006</t>
  </si>
  <si>
    <t xml:space="preserve">Credit score</t>
  </si>
  <si>
    <t xml:space="preserve">300-850 or bands; on-time payments raise it, defaults lower it</t>
  </si>
  <si>
    <t xml:space="preserve">CORE-MO-007</t>
  </si>
  <si>
    <t xml:space="preserve">Bankruptcy and recovery</t>
  </si>
  <si>
    <t xml:space="preserve">Clears most debts, blocks loans 7 years, starting-over storylets</t>
  </si>
  <si>
    <t xml:space="preserve">CORE-MO-008</t>
  </si>
  <si>
    <t xml:space="preserve">Country tax tables (launch countries)</t>
  </si>
  <si>
    <t xml:space="preserve">Data-driven brackets, payroll, capital gains, property and estate tax</t>
  </si>
  <si>
    <t xml:space="preserve">Taxes in some form</t>
  </si>
  <si>
    <t xml:space="preserve">CORE-MO-009</t>
  </si>
  <si>
    <t xml:space="preserve">Country tax tables (all countries)</t>
  </si>
  <si>
    <t xml:space="preserve">Tax data for every playable country</t>
  </si>
  <si>
    <t xml:space="preserve">CORE-MO-010</t>
  </si>
  <si>
    <t xml:space="preserve">Accountant and tax evasion</t>
  </si>
  <si>
    <t xml:space="preserve">Hire an accountant or evade taxes with an explained audit chance</t>
  </si>
  <si>
    <t xml:space="preserve">04 Core, Module 6 (priority inferred)</t>
  </si>
  <si>
    <t xml:space="preserve">CORE-MO-011</t>
  </si>
  <si>
    <t xml:space="preserve">Business founding wizard (25+ industries)</t>
  </si>
  <si>
    <t xml:space="preserve">Industry, name, location, capital source and business model</t>
  </si>
  <si>
    <t xml:space="preserve">Business job pack (paid, 25 industries)</t>
  </si>
  <si>
    <t xml:space="preserve">CORE-MO-012</t>
  </si>
  <si>
    <t xml:space="preserve">Business management</t>
  </si>
  <si>
    <t xml:space="preserve">Prices, quality, marketing, staff pay, expansion, R&amp;D with six key meters</t>
  </si>
  <si>
    <t xml:space="preserve">Products, pay and morale (paid pack)</t>
  </si>
  <si>
    <t xml:space="preserve">CORE-MO-013</t>
  </si>
  <si>
    <t xml:space="preserve">Business staff with memory</t>
  </si>
  <si>
    <t xml:space="preserve">Named employees with stats and memories; strikes and lawsuits</t>
  </si>
  <si>
    <t xml:space="preserve">SOC-RE, CORE-CR</t>
  </si>
  <si>
    <t xml:space="preserve">CORE-MO-014</t>
  </si>
  <si>
    <t xml:space="preserve">Products, recalls and competitors</t>
  </si>
  <si>
    <t xml:space="preserve">Product quality from Creativity and R&amp;D; recall scandals</t>
  </si>
  <si>
    <t xml:space="preserve">Create products (paid pack)</t>
  </si>
  <si>
    <t xml:space="preserve">CORE-MO-015</t>
  </si>
  <si>
    <t xml:space="preserve">Business failure with reasons</t>
  </si>
  <si>
    <t xml:space="preserve">Insolvency choices; closing screen explains top reasons</t>
  </si>
  <si>
    <t xml:space="preserve">CORE-MO-016</t>
  </si>
  <si>
    <t xml:space="preserve">Inheritable business</t>
  </si>
  <si>
    <t xml:space="preserve">Leave a business to an heir or manager, or sell it</t>
  </si>
  <si>
    <t xml:space="preserve">Startups reportedly could not be inherited</t>
  </si>
  <si>
    <t xml:space="preserve">04 Core, Module 6; 04 Social, Section 4 (MVP)</t>
  </si>
  <si>
    <t xml:space="preserve">CORE-MO-017</t>
  </si>
  <si>
    <t xml:space="preserve">Growth: investors, franchising, IPO, acquisitions</t>
  </si>
  <si>
    <t xml:space="preserve">Equity, board pressure, IPO at 50M+, acquisition offers</t>
  </si>
  <si>
    <t xml:space="preserve">CORE-MO-018</t>
  </si>
  <si>
    <t xml:space="preserve">Stocks, funds and bonds (fictional)</t>
  </si>
  <si>
    <t xml:space="preserve">About 60 fictional stocks in 10 sectors, index funds, bonds</t>
  </si>
  <si>
    <t xml:space="preserve">Investor pack (paid)</t>
  </si>
  <si>
    <t xml:space="preserve">CORE-MO market model</t>
  </si>
  <si>
    <t xml:space="preserve">CORE-MO-019</t>
  </si>
  <si>
    <t xml:space="preserve">Market cycles and sector news</t>
  </si>
  <si>
    <t xml:space="preserve">Boom-to-crash Markov states; returns explained by market news</t>
  </si>
  <si>
    <t xml:space="preserve">CORE-MO-020</t>
  </si>
  <si>
    <t xml:space="preserve">Crypto (2009+)</t>
  </si>
  <si>
    <t xml:space="preserve">Fictional, very volatile coins, era-gated</t>
  </si>
  <si>
    <t xml:space="preserve">Crypto (Investor pack, paid)</t>
  </si>
  <si>
    <t xml:space="preserve">CORE-WO era</t>
  </si>
  <si>
    <t xml:space="preserve">CORE-MO-021</t>
  </si>
  <si>
    <t xml:space="preserve">Financial advisor, auto-invest and rebalance</t>
  </si>
  <si>
    <t xml:space="preserve">Advisor NPC whose quality is revealed over time; liquidate with confirm</t>
  </si>
  <si>
    <t xml:space="preserve">Advisor and liquidate-all (paid pack)</t>
  </si>
  <si>
    <t xml:space="preserve">CORE-MO-022</t>
  </si>
  <si>
    <t xml:space="preserve">Financial scams as storylets</t>
  </si>
  <si>
    <t xml:space="preserve">Smarts and Cunning help spot "guaranteed" schemes</t>
  </si>
  <si>
    <t xml:space="preserve">CORE-MO-023</t>
  </si>
  <si>
    <t xml:space="preserve">Charitable giving and foundations</t>
  </si>
  <si>
    <t xml:space="preserve">Giving tier and foundations for Karma and legacy</t>
  </si>
  <si>
    <t xml:space="preserve">CORE-MO-024</t>
  </si>
  <si>
    <t xml:space="preserve">Lottery with honest odds</t>
  </si>
  <si>
    <t xml:space="preserve">Odds stated; big wins trigger sudden-wealth storylets</t>
  </si>
  <si>
    <t xml:space="preserve">Lottery tickets</t>
  </si>
  <si>
    <t xml:space="preserve">SOC-SE filters</t>
  </si>
  <si>
    <t xml:space="preserve">CORE-MO-025</t>
  </si>
  <si>
    <t xml:space="preserve">Casino games (all free, opt-in, age-gated)</t>
  </si>
  <si>
    <t xml:space="preserve">Blackjack, roulette, slots, dice, keno, poker night, horse racing; no purchasable chips</t>
  </si>
  <si>
    <t xml:space="preserve">Free casino basics + paid Casino pack</t>
  </si>
  <si>
    <t xml:space="preserve">SOC-SE filters, 09 Compliance</t>
  </si>
  <si>
    <t xml:space="preserve">CORE-MO-026</t>
  </si>
  <si>
    <t xml:space="preserve">Gambling safeguards and addiction risk</t>
  </si>
  <si>
    <t xml:space="preserve">No real-money link, no near-miss tricks, simulated addiction risk, one-toggle hide</t>
  </si>
  <si>
    <t xml:space="preserve">Gambling addiction from casino</t>
  </si>
  <si>
    <t xml:space="preserve">CORE-MO-027</t>
  </si>
  <si>
    <t xml:space="preserve">Business storylines</t>
  </si>
  <si>
    <t xml:space="preserve">Story Pack arcs such as a family bakery feud</t>
  </si>
  <si>
    <t xml:space="preserve">CORE-MO-028</t>
  </si>
  <si>
    <t xml:space="preserve">Starting cash boost (rewarded ad)</t>
  </si>
  <si>
    <t xml:space="preserve">Optional rewarded ad gives starting cash on a new life; Plus removes ads</t>
  </si>
  <si>
    <t xml:space="preserve">CORE-AS-001</t>
  </si>
  <si>
    <t xml:space="preserve">Assets and home</t>
  </si>
  <si>
    <t xml:space="preserve">Buy and sell homes with full listings</t>
  </si>
  <si>
    <t xml:space="preserve">Listings with price, bedrooms, pool, garden, condition, yearly cost</t>
  </si>
  <si>
    <t xml:space="preserve">Buy houses with cash or mortgage</t>
  </si>
  <si>
    <t xml:space="preserve">04 Core, Module 7 (Priority and access table)</t>
  </si>
  <si>
    <t xml:space="preserve">CORE-AS-002</t>
  </si>
  <si>
    <t xml:space="preserve">Viewings, surveys and bidding wars</t>
  </si>
  <si>
    <t xml:space="preserve">Viewings reveal hidden traits; surveys reveal issues; offer above/below asking</t>
  </si>
  <si>
    <t xml:space="preserve">04 Core, Module 7 (part of buy/sell; priority inferred)</t>
  </si>
  <si>
    <t xml:space="preserve">CORE-AS-003</t>
  </si>
  <si>
    <t xml:space="preserve">Mortgages</t>
  </si>
  <si>
    <t xml:space="preserve">Deposit, term, fixed or variable rate; repossession after 2 missed years</t>
  </si>
  <si>
    <t xml:space="preserve">CORE-AS-004</t>
  </si>
  <si>
    <t xml:space="preserve">Renting as a tenant</t>
  </si>
  <si>
    <t xml:space="preserve">Lease, deposit, rent rises, landlord NPC memory, eviction</t>
  </si>
  <si>
    <t xml:space="preserve">CORE-AS-005</t>
  </si>
  <si>
    <t xml:space="preserve">Cars and driving licence</t>
  </si>
  <si>
    <t xml:space="preserve">Licence test (decision mode), depreciation, classics, theft, crashes</t>
  </si>
  <si>
    <t xml:space="preserve">Cars with licences</t>
  </si>
  <si>
    <t xml:space="preserve">CORE-WO driving age</t>
  </si>
  <si>
    <t xml:space="preserve">CORE-AS-006</t>
  </si>
  <si>
    <t xml:space="preserve">Gift a car to your child</t>
  </si>
  <si>
    <t xml:space="preserve">Gift, lend or refuse when a child passes the driving test</t>
  </si>
  <si>
    <t xml:space="preserve">Not documented (player request)</t>
  </si>
  <si>
    <t xml:space="preserve">04 Social, Section 3 parenting cards</t>
  </si>
  <si>
    <t xml:space="preserve">CORE-AS-007</t>
  </si>
  <si>
    <t xml:space="preserve">Property maintenance and condition</t>
  </si>
  <si>
    <t xml:space="preserve">Condition falls 2-5 a year; neglect causes value loss and mould events</t>
  </si>
  <si>
    <t xml:space="preserve">Renovate</t>
  </si>
  <si>
    <t xml:space="preserve">04 Core, Module 7 (priority inferred)</t>
  </si>
  <si>
    <t xml:space="preserve">CORE-AS-008</t>
  </si>
  <si>
    <t xml:space="preserve">Asset happiness with diminishing returns</t>
  </si>
  <si>
    <t xml:space="preserve">Buying things is capped as a happiness source</t>
  </si>
  <si>
    <t xml:space="preserve">04 Core, Module 7 rules (priority inferred)</t>
  </si>
  <si>
    <t xml:space="preserve">CORE-AS-009</t>
  </si>
  <si>
    <t xml:space="preserve">Basic will and inheritance to heir</t>
  </si>
  <si>
    <t xml:space="preserve">Beneficiaries and percentage splits; heir inherits</t>
  </si>
  <si>
    <t xml:space="preserve">Will in Activities</t>
  </si>
  <si>
    <t xml:space="preserve">CORE-AS-010</t>
  </si>
  <si>
    <t xml:space="preserve">Trusts for minor heirs</t>
  </si>
  <si>
    <t xml:space="preserve">Heirs under 18 get assets in trust instead of a forced auction</t>
  </si>
  <si>
    <t xml:space="preserve">Minors' assets auctioned</t>
  </si>
  <si>
    <t xml:space="preserve">04 Social, Section 4 (MVP); 04 Core, Module 7 lists Launch</t>
  </si>
  <si>
    <t xml:space="preserve">CORE-AS-011</t>
  </si>
  <si>
    <t xml:space="preserve">Landlord system (free)</t>
  </si>
  <si>
    <t xml:space="preserve">Buy-to-let, tenant screening, rent, repairs, tenant storylets, legal eviction</t>
  </si>
  <si>
    <t xml:space="preserve">Landlord pack (paid)</t>
  </si>
  <si>
    <t xml:space="preserve">CORE-MO, CORE-CR</t>
  </si>
  <si>
    <t xml:space="preserve">CORE-AS-012</t>
  </si>
  <si>
    <t xml:space="preserve">Flipping and renovation</t>
  </si>
  <si>
    <t xml:space="preserve">Choose upgrades with cost and value effect, stage and sell</t>
  </si>
  <si>
    <t xml:space="preserve">Renovate and flip</t>
  </si>
  <si>
    <t xml:space="preserve">CORE-MO market</t>
  </si>
  <si>
    <t xml:space="preserve">CORE-AS-013</t>
  </si>
  <si>
    <t xml:space="preserve">Home customisation</t>
  </si>
  <si>
    <t xml:space="preserve">14 room types, 7 original style themes, upgrades with real effects</t>
  </si>
  <si>
    <t xml:space="preserve">SOC-AC parties</t>
  </si>
  <si>
    <t xml:space="preserve">CORE-AS-014</t>
  </si>
  <si>
    <t xml:space="preserve">Hosting capacity</t>
  </si>
  <si>
    <t xml:space="preserve">Rooms, garden and pool set party capacity</t>
  </si>
  <si>
    <t xml:space="preserve">CORE-AS-015</t>
  </si>
  <si>
    <t xml:space="preserve">Extra cosmetic home décor</t>
  </si>
  <si>
    <t xml:space="preserve">Cosmetic décor via Season Pass; no stat edge beyond free equivalents</t>
  </si>
  <si>
    <t xml:space="preserve">Season</t>
  </si>
  <si>
    <t xml:space="preserve">CORE-AS-016</t>
  </si>
  <si>
    <t xml:space="preserve">Boats, aircraft and motorbikes</t>
  </si>
  <si>
    <t xml:space="preserve">Licences, mooring and hangar fees, storm and crash events</t>
  </si>
  <si>
    <t xml:space="preserve">Boats and aircraft with licences</t>
  </si>
  <si>
    <t xml:space="preserve">CORE-AS-017</t>
  </si>
  <si>
    <t xml:space="preserve">Road trips</t>
  </si>
  <si>
    <t xml:space="preserve">Use your car for road-trip storylets</t>
  </si>
  <si>
    <t xml:space="preserve">CORE-AS-018</t>
  </si>
  <si>
    <t xml:space="preserve">Jewellery and collectibles</t>
  </si>
  <si>
    <t xml:space="preserve">Art, cards, vinyl, watches, wine, antiques with rarity and authenticity risk</t>
  </si>
  <si>
    <t xml:space="preserve">Jewellery that depreciates</t>
  </si>
  <si>
    <t xml:space="preserve">CORE-AS-019</t>
  </si>
  <si>
    <t xml:space="preserve">Heirlooms with owner history</t>
  </si>
  <si>
    <t xml:space="preserve">Event-found heirlooms that record owners across generations</t>
  </si>
  <si>
    <t xml:space="preserve">Daily attic mini-game heirlooms</t>
  </si>
  <si>
    <t xml:space="preserve">CORE-AS-020</t>
  </si>
  <si>
    <t xml:space="preserve">Estate tax planning and intestacy</t>
  </si>
  <si>
    <t xml:space="preserve">Country estate tax, lifetime gifts, default rules with no will</t>
  </si>
  <si>
    <t xml:space="preserve">Estate tax by country</t>
  </si>
  <si>
    <t xml:space="preserve">CORE-AS-021</t>
  </si>
  <si>
    <t xml:space="preserve">Will contests and disputes</t>
  </si>
  <si>
    <t xml:space="preserve">Left-out NPCs may contest; siblings remember who got what</t>
  </si>
  <si>
    <t xml:space="preserve">CORE-CR lawsuits</t>
  </si>
  <si>
    <t xml:space="preserve">CORE-AS-022</t>
  </si>
  <si>
    <t xml:space="preserve">Natural disasters and insurance</t>
  </si>
  <si>
    <t xml:space="preserve">Flood, fire, storm, earthquake by region; insurance per policy</t>
  </si>
  <si>
    <t xml:space="preserve">CORE-CR-001</t>
  </si>
  <si>
    <t xml:space="preserve">Crime, justice and prison</t>
  </si>
  <si>
    <t xml:space="preserve">Petty and moderate crimes with risk bands</t>
  </si>
  <si>
    <t xml:space="preserve">Shoplifting to car theft with risk shown as a band and its factors</t>
  </si>
  <si>
    <t xml:space="preserve">Crimes list in Activities</t>
  </si>
  <si>
    <t xml:space="preserve">04 Core, Module 8 (Priority and access table)</t>
  </si>
  <si>
    <t xml:space="preserve">CORE-CR-002</t>
  </si>
  <si>
    <t xml:space="preserve">Evidence, witnesses and investigation</t>
  </si>
  <si>
    <t xml:space="preserve">Evidence decays slowly; police detection per year; open cases</t>
  </si>
  <si>
    <t xml:space="preserve">04 Core, Module 8 (part of arrest; priority inferred)</t>
  </si>
  <si>
    <t xml:space="preserve">CORE-CR-003</t>
  </si>
  <si>
    <t xml:space="preserve">Arrest options and bail</t>
  </si>
  <si>
    <t xml:space="preserve">Comply, run, surrender later, flee abroad; bail or bail bond</t>
  </si>
  <si>
    <t xml:space="preserve">CORE-CR-004</t>
  </si>
  <si>
    <t xml:space="preserve">Criminal record with real effects</t>
  </si>
  <si>
    <t xml:space="preserve">Record affects jobs, travel, emigration, adoption, housing; expungement</t>
  </si>
  <si>
    <t xml:space="preserve">CORE-CA, CORE-WO</t>
  </si>
  <si>
    <t xml:space="preserve">CORE-CR-005</t>
  </si>
  <si>
    <t xml:space="preserve">Trial scene with lawyer tiers</t>
  </si>
  <si>
    <t xml:space="preserve">Self, public defender, mid-tier or elite lawyer; testimony choice</t>
  </si>
  <si>
    <t xml:space="preserve">Trials undocumented</t>
  </si>
  <si>
    <t xml:space="preserve">CORE-CA lawyer</t>
  </si>
  <si>
    <t xml:space="preserve">CORE-CR-006</t>
  </si>
  <si>
    <t xml:space="preserve">Plea deals</t>
  </si>
  <si>
    <t xml:space="preserve">Accept a plea discount or go to trial</t>
  </si>
  <si>
    <t xml:space="preserve">CORE-CR trial</t>
  </si>
  <si>
    <t xml:space="preserve">CORE-CR-007</t>
  </si>
  <si>
    <t xml:space="preserve">Appeals by level</t>
  </si>
  <si>
    <t xml:space="preserve">Appeal with grounds flags and lawyer skill</t>
  </si>
  <si>
    <t xml:space="preserve">Appeals with lawyer quality</t>
  </si>
  <si>
    <t xml:space="preserve">CORE-CR-008</t>
  </si>
  <si>
    <t xml:space="preserve">Sentence bands by country and youth detention</t>
  </si>
  <si>
    <t xml:space="preserve">Minor to gravest bands from country data; sealed juvenile records</t>
  </si>
  <si>
    <t xml:space="preserve">CORE-CR-009</t>
  </si>
  <si>
    <t xml:space="preserve">Prison hub and routines</t>
  </si>
  <si>
    <t xml:space="preserve">Prison jobs, education, gym, chapel, visits as a Prison chapter</t>
  </si>
  <si>
    <t xml:space="preserve">Prison jobs</t>
  </si>
  <si>
    <t xml:space="preserve">CORE-CL Seasons</t>
  </si>
  <si>
    <t xml:space="preserve">CORE-CR-010</t>
  </si>
  <si>
    <t xml:space="preserve">Cellmate NPC with memory</t>
  </si>
  <si>
    <t xml:space="preserve">Cellmate relationship and callbacks</t>
  </si>
  <si>
    <t xml:space="preserve">CORE-CR-011</t>
  </si>
  <si>
    <t xml:space="preserve">Parole hearings with reasons</t>
  </si>
  <si>
    <t xml:space="preserve">Parole formula; the board explains its decision; parole conditions</t>
  </si>
  <si>
    <t xml:space="preserve">CORE-CR-012</t>
  </si>
  <si>
    <t xml:space="preserve">"Night Route" escape with decision mode</t>
  </si>
  <si>
    <t xml:space="preserve">Original route-planning escape with visible patrols and equal-odds decision mode</t>
  </si>
  <si>
    <t xml:space="preserve">Grid-maze escape mini-game</t>
  </si>
  <si>
    <t xml:space="preserve">SOC-SE auto-resolve</t>
  </si>
  <si>
    <t xml:space="preserve">CORE-CR-013</t>
  </si>
  <si>
    <t xml:space="preserve">Crime content toggles</t>
  </si>
  <si>
    <t xml:space="preserve">Violent crime, drugs, death penalty and detailed text toggles by age signal</t>
  </si>
  <si>
    <t xml:space="preserve">SOC-SE, 09 Compliance</t>
  </si>
  <si>
    <t xml:space="preserve">04 Core, Module 8; 04 Social, Section 14 (MVP)</t>
  </si>
  <si>
    <t xml:space="preserve">CORE-CR-014</t>
  </si>
  <si>
    <t xml:space="preserve">Serious crimes</t>
  </si>
  <si>
    <t xml:space="preserve">Fraud, embezzlement, cybercrime, armed robbery, extortion, insider trading</t>
  </si>
  <si>
    <t xml:space="preserve">Embezzlement, robbery, drug dealing</t>
  </si>
  <si>
    <t xml:space="preserve">04 Core, Module 8 (priority inferred)</t>
  </si>
  <si>
    <t xml:space="preserve">CORE-CR-015</t>
  </si>
  <si>
    <t xml:space="preserve">Murder and contract killing (toggle-gated)</t>
  </si>
  <si>
    <t xml:space="preserve">Non-graphic text, heaviest sentences, off by default for under-18 signal</t>
  </si>
  <si>
    <t xml:space="preserve">Murder, hiring a hitman</t>
  </si>
  <si>
    <t xml:space="preserve">CORE-CR-016</t>
  </si>
  <si>
    <t xml:space="preserve">Heist planner with after-action report</t>
  </si>
  <si>
    <t xml:space="preserve">Target, crew, intel, tools, approach, 3-phase execution and a failure explanation</t>
  </si>
  <si>
    <t xml:space="preserve">Bank and train robbery with opaque failures</t>
  </si>
  <si>
    <t xml:space="preserve">SOC-RE loyalty</t>
  </si>
  <si>
    <t xml:space="preserve">CORE-CR-017</t>
  </si>
  <si>
    <t xml:space="preserve">Civil lawsuits both ways</t>
  </si>
  <si>
    <t xml:space="preserve">Grounds from data, settlement rounds, verdicts; NPCs can sue you</t>
  </si>
  <si>
    <t xml:space="preserve">Lawsuits only with a grievance</t>
  </si>
  <si>
    <t xml:space="preserve">CORE-CR-018</t>
  </si>
  <si>
    <t xml:space="preserve">Lawsuit retaliation</t>
  </si>
  <si>
    <t xml:space="preserve">Defendants remember and may counter-sue, sabotage or report you</t>
  </si>
  <si>
    <t xml:space="preserve">CORE-CL memory</t>
  </si>
  <si>
    <t xml:space="preserve">CORE-CR-019</t>
  </si>
  <si>
    <t xml:space="preserve">"Stand Together" riot scene</t>
  </si>
  <si>
    <t xml:space="preserve">Turn-based standoff, decision mode by default</t>
  </si>
  <si>
    <t xml:space="preserve">Swipe-chain riot mini-game</t>
  </si>
  <si>
    <t xml:space="preserve">CORE-CR prison</t>
  </si>
  <si>
    <t xml:space="preserve">CORE-CR-020</t>
  </si>
  <si>
    <t xml:space="preserve">Prison gangs, contraband and bribery</t>
  </si>
  <si>
    <t xml:space="preserve">Original gangs, informing, bribing guards</t>
  </si>
  <si>
    <t xml:space="preserve">Prison gangs, bribing guards</t>
  </si>
  <si>
    <t xml:space="preserve">CORE-CR-021</t>
  </si>
  <si>
    <t xml:space="preserve">Organised-crime ranks</t>
  </si>
  <si>
    <t xml:space="preserve">Ranks, territory, loyalty tests, extortion</t>
  </si>
  <si>
    <t xml:space="preserve">Organised crime pack (paid)</t>
  </si>
  <si>
    <t xml:space="preserve">CORE-CR-022</t>
  </si>
  <si>
    <t xml:space="preserve">Death penalty by country</t>
  </si>
  <si>
    <t xml:space="preserve">Only where country data allows; long appeals; toggle to life sentence</t>
  </si>
  <si>
    <t xml:space="preserve">Death penalty for caught serial killers</t>
  </si>
  <si>
    <t xml:space="preserve">CORE-CR-023</t>
  </si>
  <si>
    <t xml:space="preserve">Pardons and expungement</t>
  </si>
  <si>
    <t xml:space="preserve">Head-of-state pardons where they exist; clean-period expungement</t>
  </si>
  <si>
    <t xml:space="preserve">CORE-CR-024</t>
  </si>
  <si>
    <t xml:space="preserve">Cold cases</t>
  </si>
  <si>
    <t xml:space="preserve">Old crimes reopened years later by DNA, confessions or witnesses</t>
  </si>
  <si>
    <t xml:space="preserve">CORE-CR-025</t>
  </si>
  <si>
    <t xml:space="preserve">Extra crime storylines</t>
  </si>
  <si>
    <t xml:space="preserve">Story Pack arcs such as a famous art-theft arc</t>
  </si>
  <si>
    <t xml:space="preserve">CORE-HE-001</t>
  </si>
  <si>
    <t xml:space="preserve">Health, body and death</t>
  </si>
  <si>
    <t xml:space="preserve">Health stat, common illnesses, GP and ER</t>
  </si>
  <si>
    <t xml:space="preserve">Core health with everyday illnesses and basic care</t>
  </si>
  <si>
    <t xml:space="preserve">Doctor in Activities</t>
  </si>
  <si>
    <t xml:space="preserve">04 Core, Module 9 (Priority and access table)</t>
  </si>
  <si>
    <t xml:space="preserve">CORE-HE-002</t>
  </si>
  <si>
    <t xml:space="preserve">Basic death check and death screen</t>
  </si>
  <si>
    <t xml:space="preserve">Gompertz-based death check; death screen with recap, heir and new-life buttons</t>
  </si>
  <si>
    <t xml:space="preserve">Death causes, tombstone</t>
  </si>
  <si>
    <t xml:space="preserve">SOC-AR, SOC-GE</t>
  </si>
  <si>
    <t xml:space="preserve">CORE-HE-003</t>
  </si>
  <si>
    <t xml:space="preserve">Symptom-to-treatment journey</t>
  </si>
  <si>
    <t xml:space="preserve">Symptoms, diagnosis (tests), treatment choices with cost and odds</t>
  </si>
  <si>
    <t xml:space="preserve">Doctor treats illnesses</t>
  </si>
  <si>
    <t xml:space="preserve">CORE-HE-004</t>
  </si>
  <si>
    <t xml:space="preserve">Serious and chronic conditions</t>
  </si>
  <si>
    <t xml:space="preserve">Staged cancers, heart disease, diabetes, asthma managed over years</t>
  </si>
  <si>
    <t xml:space="preserve">Illnesses, STDs</t>
  </si>
  <si>
    <t xml:space="preserve">CORE-HE-005</t>
  </si>
  <si>
    <t xml:space="preserve">Specialists, surgeon, dentist and physio</t>
  </si>
  <si>
    <t xml:space="preserve">Referral-based providers with waiting times by country</t>
  </si>
  <si>
    <t xml:space="preserve">Doctor</t>
  </si>
  <si>
    <t xml:space="preserve">CORE-HE-006</t>
  </si>
  <si>
    <t xml:space="preserve">Health insurance and healthcare by country</t>
  </si>
  <si>
    <t xml:space="preserve">Universal, insurance or out-of-pocket models; medical debt</t>
  </si>
  <si>
    <t xml:space="preserve">CORE-WO, CORE-MO</t>
  </si>
  <si>
    <t xml:space="preserve">CORE-HE-007</t>
  </si>
  <si>
    <t xml:space="preserve">Addictions and rehab</t>
  </si>
  <si>
    <t xml:space="preserve">Onset, relapse and recovery model across 6 addiction types</t>
  </si>
  <si>
    <t xml:space="preserve">Rehab cures addictions</t>
  </si>
  <si>
    <t xml:space="preserve">CORE-ST Willpower</t>
  </si>
  <si>
    <t xml:space="preserve">CORE-HE-008</t>
  </si>
  <si>
    <t xml:space="preserve">Mental-health system with helpline panel</t>
  </si>
  <si>
    <t xml:space="preserve">Treatable conditions, therapy, medication, support groups; regional helplines</t>
  </si>
  <si>
    <t xml:space="preserve">09 Compliance review</t>
  </si>
  <si>
    <t xml:space="preserve">CORE-HE-009</t>
  </si>
  <si>
    <t xml:space="preserve">"End this life" out-of-character option</t>
  </si>
  <si>
    <t xml:space="preserve">Neutral pause-menu option with support panel; replaces any in-story suicide action</t>
  </si>
  <si>
    <t xml:space="preserve">Surrender (in-story)</t>
  </si>
  <si>
    <t xml:space="preserve">04 Core, Module 9 (priority inferred)</t>
  </si>
  <si>
    <t xml:space="preserve">CORE-HE-010</t>
  </si>
  <si>
    <t xml:space="preserve">Gym and Wellbeing activities with fitness meter</t>
  </si>
  <si>
    <t xml:space="preserve">Gym, running, yoga, martial arts, meditation, journaling, sleep, diet</t>
  </si>
  <si>
    <t xml:space="preserve">Mind &amp; Body activities</t>
  </si>
  <si>
    <t xml:space="preserve">CORE-HE-011</t>
  </si>
  <si>
    <t xml:space="preserve">Salon and spa</t>
  </si>
  <si>
    <t xml:space="preserve">Haircuts, nails, skincare, massage with avatar changes</t>
  </si>
  <si>
    <t xml:space="preserve">Salon &amp; Spa</t>
  </si>
  <si>
    <t xml:space="preserve">CORE-HE-012</t>
  </si>
  <si>
    <t xml:space="preserve">Alternative healer</t>
  </si>
  <si>
    <t xml:space="preserve">Risky, never a real cure, written respectfully</t>
  </si>
  <si>
    <t xml:space="preserve">Witch doctor</t>
  </si>
  <si>
    <t xml:space="preserve">04 Social, Section 7 (MVP parity items)</t>
  </si>
  <si>
    <t xml:space="preserve">CORE-HE-013</t>
  </si>
  <si>
    <t xml:space="preserve">Frailty indicator and warning signs</t>
  </si>
  <si>
    <t xml:space="preserve">Serious conditions show symptoms first; elders show frailty</t>
  </si>
  <si>
    <t xml:space="preserve">Untreated illnesses kill quickly</t>
  </si>
  <si>
    <t xml:space="preserve">04 Core, Module 9 (acceptance criteria; priority inferred)</t>
  </si>
  <si>
    <t xml:space="preserve">CORE-HE-014</t>
  </si>
  <si>
    <t xml:space="preserve">Aging avatar (basic stages)</t>
  </si>
  <si>
    <t xml:space="preserve">Avatar layers change by life stage</t>
  </si>
  <si>
    <t xml:space="preserve">SOC-ID</t>
  </si>
  <si>
    <t xml:space="preserve">CORE-HE-015</t>
  </si>
  <si>
    <t xml:space="preserve">Aging avatar (lifestyle layers)</t>
  </si>
  <si>
    <t xml:space="preserve">Grey hair, wrinkles, scars, tattoos, weight shown neutrally; alt text</t>
  </si>
  <si>
    <t xml:space="preserve">CORE-HE-016</t>
  </si>
  <si>
    <t xml:space="preserve">Avatar cosmetic styles</t>
  </si>
  <si>
    <t xml:space="preserve">Cosmetic aging-avatar styles via Season Pass</t>
  </si>
  <si>
    <t xml:space="preserve">CORE-HE-017</t>
  </si>
  <si>
    <t xml:space="preserve">Plastic surgery with risk transparency</t>
  </si>
  <si>
    <t xml:space="preserve">Procedures with cost, Looks gain and botch risk; body-image storylet</t>
  </si>
  <si>
    <t xml:space="preserve">Plastic surgery</t>
  </si>
  <si>
    <t xml:space="preserve">CORE-HE-018</t>
  </si>
  <si>
    <t xml:space="preserve">Funeral and eulogy from memories</t>
  </si>
  <si>
    <t xml:space="preserve">Funeral type, attendance from relationships, eulogy assembled from memories</t>
  </si>
  <si>
    <t xml:space="preserve">Tombstone only</t>
  </si>
  <si>
    <t xml:space="preserve">CORE-HE-019</t>
  </si>
  <si>
    <t xml:space="preserve">Organ donation, living wills and hospice</t>
  </si>
  <si>
    <t xml:space="preserve">Non-graphic end-of-life storylines</t>
  </si>
  <si>
    <t xml:space="preserve">CORE-AS will</t>
  </si>
  <si>
    <t xml:space="preserve">CORE-WO-001</t>
  </si>
  <si>
    <t xml:space="preserve">Countries and world</t>
  </si>
  <si>
    <t xml:space="preserve">Country data model and rules service</t>
  </si>
  <si>
    <t xml:space="preserve">One rules service for all modules with era overrides</t>
  </si>
  <si>
    <t xml:space="preserve">Laws follow real countries in some systems</t>
  </si>
  <si>
    <t xml:space="preserve">04 Core, Module 10 (Priority and access table)</t>
  </si>
  <si>
    <t xml:space="preserve">CORE-WO-002</t>
  </si>
  <si>
    <t xml:space="preserve">About 25 countries with full data</t>
  </si>
  <si>
    <t xml:space="preserve">Soft-launch and launch-language markets with native city lists</t>
  </si>
  <si>
    <t xml:space="preserve">Many countries and cities</t>
  </si>
  <si>
    <t xml:space="preserve">CORE-WO-003</t>
  </si>
  <si>
    <t xml:space="preserve">Country profile screen</t>
  </si>
  <si>
    <t xml:space="preserve">At least 12 key rules in plain language per country</t>
  </si>
  <si>
    <t xml:space="preserve">CORE-WO-004</t>
  </si>
  <si>
    <t xml:space="preserve">60+ countries</t>
  </si>
  <si>
    <t xml:space="preserve">Expanded country list at global launch</t>
  </si>
  <si>
    <t xml:space="preserve">CORE-WO-005</t>
  </si>
  <si>
    <t xml:space="preserve">150+ countries</t>
  </si>
  <si>
    <t xml:space="preserve">Further countries prioritised by analytics</t>
  </si>
  <si>
    <t xml:space="preserve">CORE-WO-006</t>
  </si>
  <si>
    <t xml:space="preserve">Emigration with visa routes</t>
  </si>
  <si>
    <t xml:space="preserve">Work, study, family, investor, retirement visas, asylum storyline, irregular route</t>
  </si>
  <si>
    <t xml:space="preserve">Emigrate with record and money check</t>
  </si>
  <si>
    <t xml:space="preserve">CORE-CR record</t>
  </si>
  <si>
    <t xml:space="preserve">CORE-WO-007</t>
  </si>
  <si>
    <t xml:space="preserve">Citizenship, dual citizenship and language learning</t>
  </si>
  <si>
    <t xml:space="preserve">Residency years, dual citizenship rules, fluency 0-100</t>
  </si>
  <si>
    <t xml:space="preserve">CORE-WO-008</t>
  </si>
  <si>
    <t xml:space="preserve">Fleeing justice and extradition</t>
  </si>
  <si>
    <t xml:space="preserve">Flee to non-extradition countries; open case follows you</t>
  </si>
  <si>
    <t xml:space="preserve">Emigrating to flee justice</t>
  </si>
  <si>
    <t xml:space="preserve">04 Core, Module 10 (priority inferred)</t>
  </si>
  <si>
    <t xml:space="preserve">CORE-WO-009</t>
  </si>
  <si>
    <t xml:space="preserve">Monarchies and royalty with Respect</t>
  </si>
  <si>
    <t xml:space="preserve">Fictional royal houses in real monarchies; duties, succession, coronation</t>
  </si>
  <si>
    <t xml:space="preserve">Royalty in about 17-18 monarchies</t>
  </si>
  <si>
    <t xml:space="preserve">CORE-CA royalty</t>
  </si>
  <si>
    <t xml:space="preserve">CORE-WO-010</t>
  </si>
  <si>
    <t xml:space="preserve">Military draft and alternative service</t>
  </si>
  <si>
    <t xml:space="preserve">Draft notice, deferment, civilian service, objection or evasion</t>
  </si>
  <si>
    <t xml:space="preserve">CORE-CA military</t>
  </si>
  <si>
    <t xml:space="preserve">CORE-WO-011</t>
  </si>
  <si>
    <t xml:space="preserve">Religion system</t>
  </si>
  <si>
    <t xml:space="preserve">Affiliation, practice, Faith meter, family reactions, interfaith storylets</t>
  </si>
  <si>
    <t xml:space="preserve">CORE-WO-012</t>
  </si>
  <si>
    <t xml:space="preserve">Era mode (1900-2040) content gates</t>
  </si>
  <si>
    <t xml:space="preserve">Technology, jobs, laws and prices matched to the year</t>
  </si>
  <si>
    <t xml:space="preserve">CORE-WO-013</t>
  </si>
  <si>
    <t xml:space="preserve">Abstracted historical events</t>
  </si>
  <si>
    <t xml:space="preserve">Fictionalised recessions, wars and pandemics; no real public figures</t>
  </si>
  <si>
    <t xml:space="preserve">04 Core, Module 10 (part of Era mode)</t>
  </si>
  <si>
    <t xml:space="preserve">CORE-WO-014</t>
  </si>
  <si>
    <t xml:space="preserve">Regional world events</t>
  </si>
  <si>
    <t xml:space="preserve">Disasters, elections, economic cycles, sports tournaments as storylets</t>
  </si>
  <si>
    <t xml:space="preserve">CORE-WO-015</t>
  </si>
  <si>
    <t xml:space="preserve">Extra era storylines</t>
  </si>
  <si>
    <t xml:space="preserve">Story Pack arcs such as a 1920s jazz-age arc</t>
  </si>
  <si>
    <t xml:space="preserve">SOC-RE-001</t>
  </si>
  <si>
    <t xml:space="preserve">Relationships</t>
  </si>
  <si>
    <t xml:space="preserve">Bond % with text labels</t>
  </si>
  <si>
    <t xml:space="preserve">Visible Bond % with Estranged-to-Devoted labels, read by screen readers</t>
  </si>
  <si>
    <t xml:space="preserve">Relationship bars with no number</t>
  </si>
  <si>
    <t xml:space="preserve">04 Social, Section 1 (Priority and access table)</t>
  </si>
  <si>
    <t xml:space="preserve">SOC-RE-002</t>
  </si>
  <si>
    <t xml:space="preserve">Hidden facets with "why"</t>
  </si>
  <si>
    <t xml:space="preserve">Trust, Respect, Affection, Attraction minus Resentment; long-press explains top drivers</t>
  </si>
  <si>
    <t xml:space="preserve">SOC-RE-003</t>
  </si>
  <si>
    <t xml:space="preserve">People screen with circles</t>
  </si>
  <si>
    <t xml:space="preserve">One screen grouped by Family, Partner, Friends, Work, School, Rivals, Exes, Community</t>
  </si>
  <si>
    <t xml:space="preserve">Separate relationship tabs</t>
  </si>
  <si>
    <t xml:space="preserve">SOC-RE-004</t>
  </si>
  <si>
    <t xml:space="preserve">Core interactions as action cards</t>
  </si>
  <si>
    <t xml:space="preserve">Warm, help, ask, conflict, repair, special and child interactions</t>
  </si>
  <si>
    <t xml:space="preserve">Spend time, conversation, compliments, gifts, insults</t>
  </si>
  <si>
    <t xml:space="preserve">SOC-RE-005</t>
  </si>
  <si>
    <t xml:space="preserve">Diminishing returns on repeated interactions</t>
  </si>
  <si>
    <t xml:space="preserve">Second compliment in a year gives half, third gives none</t>
  </si>
  <si>
    <t xml:space="preserve">Spam talk every year</t>
  </si>
  <si>
    <t xml:space="preserve">SOC-RE-006</t>
  </si>
  <si>
    <t xml:space="preserve">NPC memory and grudges (40 tags)</t>
  </si>
  <si>
    <t xml:space="preserve">Grudges form from strong negative memories and surface years later</t>
  </si>
  <si>
    <t xml:space="preserve">SOC-RE-007</t>
  </si>
  <si>
    <t xml:space="preserve">Grudge-blocked actions shown with reason</t>
  </si>
  <si>
    <t xml:space="preserve">Blocked actions are greyed with the reason and a repair hint</t>
  </si>
  <si>
    <t xml:space="preserve">SOC-RE-008</t>
  </si>
  <si>
    <t xml:space="preserve">Friends, best friends and rivals</t>
  </si>
  <si>
    <t xml:space="preserve">Up to 3 best friends, 1 nemesis; enemies can sabotage or sue</t>
  </si>
  <si>
    <t xml:space="preserve">Multiple friends and enemies (v1.28)</t>
  </si>
  <si>
    <t xml:space="preserve">SOC-RE-009</t>
  </si>
  <si>
    <t xml:space="preserve">"Reach out" fading-bond nudges</t>
  </si>
  <si>
    <t xml:space="preserve">Reminders when a close bond is fading</t>
  </si>
  <si>
    <t xml:space="preserve">SOC-AC cards</t>
  </si>
  <si>
    <t xml:space="preserve">04 Social, Section 1 (priority inferred)</t>
  </si>
  <si>
    <t xml:space="preserve">SOC-RE-010</t>
  </si>
  <si>
    <t xml:space="preserve">NPC yearly goals</t>
  </si>
  <si>
    <t xml:space="preserve">Close NPCs marry, change job, move away or start feuds on their own</t>
  </si>
  <si>
    <t xml:space="preserve">SOC-RE-011</t>
  </si>
  <si>
    <t xml:space="preserve">Introductions (NPC-to-NPC bonds)</t>
  </si>
  <si>
    <t xml:space="preserve">Introduce two NPCs so they form their own bond</t>
  </si>
  <si>
    <t xml:space="preserve">SOC-RE-012</t>
  </si>
  <si>
    <t xml:space="preserve">Family counselling and mediation</t>
  </si>
  <si>
    <t xml:space="preserve">Counselling for any family member, not just couples</t>
  </si>
  <si>
    <t xml:space="preserve">Relationship counselling (v1.31)</t>
  </si>
  <si>
    <t xml:space="preserve">SOC-RE-013</t>
  </si>
  <si>
    <t xml:space="preserve">Caregiver arcs for aging relatives</t>
  </si>
  <si>
    <t xml:space="preserve">Care for frail parents with Stress, sibling and inheritance effects</t>
  </si>
  <si>
    <t xml:space="preserve">SOC-RE-014</t>
  </si>
  <si>
    <t xml:space="preserve">Mentors and protégés</t>
  </si>
  <si>
    <t xml:space="preserve">Mentors at school and work</t>
  </si>
  <si>
    <t xml:space="preserve">SOC-RE-015</t>
  </si>
  <si>
    <t xml:space="preserve">NPC-to-NPC grudges</t>
  </si>
  <si>
    <t xml:space="preserve">NPC feuds shape parties, weddings and inheritance</t>
  </si>
  <si>
    <t xml:space="preserve">SOC-LO-001</t>
  </si>
  <si>
    <t xml:space="preserve">Love and marriage</t>
  </si>
  <si>
    <t xml:space="preserve">Meeting routes</t>
  </si>
  <si>
    <t xml:space="preserve">School crush, introductions, work, gym, faith, nightlife, matchmaker, celebrity encounters</t>
  </si>
  <si>
    <t xml:space="preserve">Dating app, hookups</t>
  </si>
  <si>
    <t xml:space="preserve">04 Social, Section 2 (Priority and access table)</t>
  </si>
  <si>
    <t xml:space="preserve">SOC-LO-002</t>
  </si>
  <si>
    <t xml:space="preserve">Kindling dating app (all orientations)</t>
  </si>
  <si>
    <t xml:space="preserve">One app with filters for gender(s), age, distance, kids, faith, income</t>
  </si>
  <si>
    <t xml:space="preserve">Dating app plus separate same-sex app</t>
  </si>
  <si>
    <t xml:space="preserve">SOC-LO-003</t>
  </si>
  <si>
    <t xml:space="preserve">Two-way attraction and compatibility bands</t>
  </si>
  <si>
    <t xml:space="preserve">"Why you click" and "Possible friction"; Spark, Steady, Mixed, Rocky bands</t>
  </si>
  <si>
    <t xml:space="preserve">Hidden maths</t>
  </si>
  <si>
    <t xml:space="preserve">SOC-LO-004</t>
  </si>
  <si>
    <t xml:space="preserve">Explicit relationship stages</t>
  </si>
  <si>
    <t xml:space="preserve">Crush to Married, Separated, Divorced or Widowed, each with its own cards</t>
  </si>
  <si>
    <t xml:space="preserve">One lover at a time</t>
  </si>
  <si>
    <t xml:space="preserve">SOC-LO-005</t>
  </si>
  <si>
    <t xml:space="preserve">Proposal and rings</t>
  </si>
  <si>
    <t xml:space="preserve">Ring tiers, private or public proposal with acceptance odds</t>
  </si>
  <si>
    <t xml:space="preserve">Buy a ring and propose</t>
  </si>
  <si>
    <t xml:space="preserve">CORE-AS jewellery</t>
  </si>
  <si>
    <t xml:space="preserve">SOC-LO-006</t>
  </si>
  <si>
    <t xml:space="preserve">Wedding planner with guest list</t>
  </si>
  <si>
    <t xml:space="preserve">Venue tier, guest list, budget, traditions, mishaps</t>
  </si>
  <si>
    <t xml:space="preserve">Tiered wedding venues</t>
  </si>
  <si>
    <t xml:space="preserve">SOC-LO-007</t>
  </si>
  <si>
    <t xml:space="preserve">Prenup builder (3 options)</t>
  </si>
  <si>
    <t xml:space="preserve">None, Standard or Ironclad with one-sentence explanations</t>
  </si>
  <si>
    <t xml:space="preserve">Rich partners may demand a prenup</t>
  </si>
  <si>
    <t xml:space="preserve">SOC-LO-008</t>
  </si>
  <si>
    <t xml:space="preserve">Divorce process</t>
  </si>
  <si>
    <t xml:space="preserve">Separation, mediated or court divorce, asset split by regime and prenup</t>
  </si>
  <si>
    <t xml:space="preserve">50/50 split without prenup</t>
  </si>
  <si>
    <t xml:space="preserve">CORE-CR lawyer</t>
  </si>
  <si>
    <t xml:space="preserve">SOC-LO-009</t>
  </si>
  <si>
    <t xml:space="preserve">Affairs with discovery mechanics</t>
  </si>
  <si>
    <t xml:space="preserve">Discovery chance from risky actions; partner hints first</t>
  </si>
  <si>
    <t xml:space="preserve">Either partner can cheat</t>
  </si>
  <si>
    <t xml:space="preserve">SOC-FA scandals</t>
  </si>
  <si>
    <t xml:space="preserve">SOC-LO-010</t>
  </si>
  <si>
    <t xml:space="preserve">Exes circle and reconciliation</t>
  </si>
  <si>
    <t xml:space="preserve">Exes stay in a circle and can get back together</t>
  </si>
  <si>
    <t xml:space="preserve">Exes tab</t>
  </si>
  <si>
    <t xml:space="preserve">SOC-LO-011</t>
  </si>
  <si>
    <t xml:space="preserve">Parents who divorce and remarry</t>
  </si>
  <si>
    <t xml:space="preserve">Parents' Marriage Health from birth; separation, custody of the player, step-families</t>
  </si>
  <si>
    <t xml:space="preserve">Not documented (top player request)</t>
  </si>
  <si>
    <t xml:space="preserve">SOC-CH custody</t>
  </si>
  <si>
    <t xml:space="preserve">SOC-LO-012</t>
  </si>
  <si>
    <t xml:space="preserve">Marital regimes and spousal support by country</t>
  </si>
  <si>
    <t xml:space="preserve">Community or separate regimes from country data; support rules</t>
  </si>
  <si>
    <t xml:space="preserve">50/50 default</t>
  </si>
  <si>
    <t xml:space="preserve">SOC-LO-013</t>
  </si>
  <si>
    <t xml:space="preserve">Arranged marriage by country data</t>
  </si>
  <si>
    <t xml:space="preserve">Likelihood and refusal consequences from data, sensitivity-reviewed</t>
  </si>
  <si>
    <t xml:space="preserve">Arranged marriage in some countries</t>
  </si>
  <si>
    <t xml:space="preserve">SOC-LO-014</t>
  </si>
  <si>
    <t xml:space="preserve">Vow renewal, anniversaries, widowhood and late-life love</t>
  </si>
  <si>
    <t xml:space="preserve">Long-marriage and later-life romance events</t>
  </si>
  <si>
    <t xml:space="preserve">SOC-LO-015</t>
  </si>
  <si>
    <t xml:space="preserve">Royal marriage</t>
  </si>
  <si>
    <t xml:space="preserve">Marry into royalty with family approval rules</t>
  </si>
  <si>
    <t xml:space="preserve">Marry into royalty</t>
  </si>
  <si>
    <t xml:space="preserve">CORE-WO royalty</t>
  </si>
  <si>
    <t xml:space="preserve">SOC-LO-016</t>
  </si>
  <si>
    <t xml:space="preserve">Romance storylines</t>
  </si>
  <si>
    <t xml:space="preserve">Story Pack arcs such as "Summer Romance"</t>
  </si>
  <si>
    <t xml:space="preserve">SOC-LO-017</t>
  </si>
  <si>
    <t xml:space="preserve">Seasonal romance chapters</t>
  </si>
  <si>
    <t xml:space="preserve">Season Pass bonus romance chapters</t>
  </si>
  <si>
    <t xml:space="preserve">SOC-CH-001</t>
  </si>
  <si>
    <t xml:space="preserve">Children and family</t>
  </si>
  <si>
    <t xml:space="preserve">Family planning conversation</t>
  </si>
  <si>
    <t xml:space="preserve">"Try for a baby", "Not yet", "Never" with partner reactions</t>
  </si>
  <si>
    <t xml:space="preserve">Fertility menu</t>
  </si>
  <si>
    <t xml:space="preserve">04 Social, Section 3 (Priority and access table)</t>
  </si>
  <si>
    <t xml:space="preserve">SOC-CH-002</t>
  </si>
  <si>
    <t xml:space="preserve">Natural conception with fertility and multiples</t>
  </si>
  <si>
    <t xml:space="preserve">Yearly chance from both partners' Fertility; twins and triplets</t>
  </si>
  <si>
    <t xml:space="preserve">Natural children</t>
  </si>
  <si>
    <t xml:space="preserve">CORE-ST Fertility</t>
  </si>
  <si>
    <t xml:space="preserve">SOC-CH-003</t>
  </si>
  <si>
    <t xml:space="preserve">IVF and artificial insemination</t>
  </si>
  <si>
    <t xml:space="preserve">Cost and age-based odds shown before you confirm</t>
  </si>
  <si>
    <t xml:space="preserve">IVF and insemination</t>
  </si>
  <si>
    <t xml:space="preserve">SOC-CH-004</t>
  </si>
  <si>
    <t xml:space="preserve">Adoption</t>
  </si>
  <si>
    <t xml:space="preserve">Domestic, international, sibling groups; child profiles with backstories</t>
  </si>
  <si>
    <t xml:space="preserve">Adoption at 21+ with job and home</t>
  </si>
  <si>
    <t xml:space="preserve">SOC-CH-005</t>
  </si>
  <si>
    <t xml:space="preserve">Parenting cards by age band</t>
  </si>
  <si>
    <t xml:space="preserve">Yearly cards per child from cuddles to university help; no physical punishment</t>
  </si>
  <si>
    <t xml:space="preserve">SOC-CH-006</t>
  </si>
  <si>
    <t xml:space="preserve">Child traits from genetics, style and events</t>
  </si>
  <si>
    <t xml:space="preserve">Child traits traceable to parenting choices and events</t>
  </si>
  <si>
    <t xml:space="preserve">SOC-CH-007</t>
  </si>
  <si>
    <t xml:space="preserve">Child memories of the parent</t>
  </si>
  <si>
    <t xml:space="preserve">Children remember how they were raised and may refuse care in old age</t>
  </si>
  <si>
    <t xml:space="preserve">SOC-CH-008</t>
  </si>
  <si>
    <t xml:space="preserve">Custody (joint, primary, sole)</t>
  </si>
  <si>
    <t xml:space="preserve">Court weighs Bond, income, record, home, addiction, child's wish</t>
  </si>
  <si>
    <t xml:space="preserve">SOC-LO divorce</t>
  </si>
  <si>
    <t xml:space="preserve">SOC-CH-009</t>
  </si>
  <si>
    <t xml:space="preserve">Child support</t>
  </si>
  <si>
    <t xml:space="preserve">Percentage of income by number of children, capped by country</t>
  </si>
  <si>
    <t xml:space="preserve">SOC-CH-010</t>
  </si>
  <si>
    <t xml:space="preserve">Pregnancy arc</t>
  </si>
  <si>
    <t xml:space="preserve">Announcement, scan, cravings, birth story; pregnancy-loss filter</t>
  </si>
  <si>
    <t xml:space="preserve">04 Social, Section 3 (priority inferred)</t>
  </si>
  <si>
    <t xml:space="preserve">SOC-CH-011</t>
  </si>
  <si>
    <t xml:space="preserve">Surrogacy by country</t>
  </si>
  <si>
    <t xml:space="preserve">Legal per country data; travelling for surrogacy option</t>
  </si>
  <si>
    <t xml:space="preserve">Surrogacy where legal</t>
  </si>
  <si>
    <t xml:space="preserve">SOC-CH-012</t>
  </si>
  <si>
    <t xml:space="preserve">Fostering and foster-to-adopt</t>
  </si>
  <si>
    <t xml:space="preserve">Temporary placements with a stipend that can lead to adoption</t>
  </si>
  <si>
    <t xml:space="preserve">SOC-CH-013</t>
  </si>
  <si>
    <t xml:space="preserve">Egg freezing and donation</t>
  </si>
  <si>
    <t xml:space="preserve">Freeze eggs for later IVF; sperm and egg donation storylines</t>
  </si>
  <si>
    <t xml:space="preserve">Donate sperm</t>
  </si>
  <si>
    <t xml:space="preserve">SOC-CH-014</t>
  </si>
  <si>
    <t xml:space="preserve">Vasectomy, tubal ligation and reversal</t>
  </si>
  <si>
    <t xml:space="preserve">Procedures with reversal odds</t>
  </si>
  <si>
    <t xml:space="preserve">Vasectomy</t>
  </si>
  <si>
    <t xml:space="preserve">SOC-CH-015</t>
  </si>
  <si>
    <t xml:space="preserve">Parenting styles</t>
  </si>
  <si>
    <t xml:space="preserve">Warm, Strict, Free-range, Hands-off set trait weights</t>
  </si>
  <si>
    <t xml:space="preserve">SOC-CH-016</t>
  </si>
  <si>
    <t xml:space="preserve">Twin storylets</t>
  </si>
  <si>
    <t xml:space="preserve">Twin-specific storylets for players born as twins</t>
  </si>
  <si>
    <t xml:space="preserve">CORE-CC twins</t>
  </si>
  <si>
    <t xml:space="preserve">SOC-CH-017</t>
  </si>
  <si>
    <t xml:space="preserve">Family secrets and events</t>
  </si>
  <si>
    <t xml:space="preserve">Hidden half-siblings, adoption reveals, reunions, empty nest</t>
  </si>
  <si>
    <t xml:space="preserve">SOC-GE-001</t>
  </si>
  <si>
    <t xml:space="preserve">Generations and Dynasty</t>
  </si>
  <si>
    <t xml:space="preserve">Continue as heir (founder + 3 heirs free)</t>
  </si>
  <si>
    <t xml:space="preserve">Free dynasties run to Generation 4; cap shown from generation 1</t>
  </si>
  <si>
    <t xml:space="preserve">Free players continue only once</t>
  </si>
  <si>
    <t xml:space="preserve">CORE-HE, CORE-AS</t>
  </si>
  <si>
    <t xml:space="preserve">Resolved decision: founder + 3 heirs free</t>
  </si>
  <si>
    <t xml:space="preserve">SOC-GE-002</t>
  </si>
  <si>
    <t xml:space="preserve">Up to 8 generations</t>
  </si>
  <si>
    <t xml:space="preserve">Dynasties extend from Generation 4 (free) to Generation 8, the hard cap</t>
  </si>
  <si>
    <t xml:space="preserve">Unlimited generations with paid VIP</t>
  </si>
  <si>
    <t xml:space="preserve">04 Social, Section 4 (Priority and access table)</t>
  </si>
  <si>
    <t xml:space="preserve">SOC-GE-003</t>
  </si>
  <si>
    <t xml:space="preserve">Dynasty saved at the free cap</t>
  </si>
  <si>
    <t xml:space="preserve">Dynasty paused and saved, tree stays viewable, resumes after Plus</t>
  </si>
  <si>
    <t xml:space="preserve">Reported save deletion after 4 generations</t>
  </si>
  <si>
    <t xml:space="preserve">Cloud saves</t>
  </si>
  <si>
    <t xml:space="preserve">SOC-GE-004</t>
  </si>
  <si>
    <t xml:space="preserve">Heir picker cards</t>
  </si>
  <si>
    <t xml:space="preserve">Age, stats, traits, inheritance, memory of the parent per heir</t>
  </si>
  <si>
    <t xml:space="preserve">Continue as eligible child</t>
  </si>
  <si>
    <t xml:space="preserve">SOC-GE-005</t>
  </si>
  <si>
    <t xml:space="preserve">Default inheritance rules and debts</t>
  </si>
  <si>
    <t xml:space="preserve">Intestacy defaults; heirs never inherit negative net worth</t>
  </si>
  <si>
    <t xml:space="preserve">Will splits</t>
  </si>
  <si>
    <t xml:space="preserve">SOC-GE-006</t>
  </si>
  <si>
    <t xml:space="preserve">Cloud-saved dynasties</t>
  </si>
  <si>
    <t xml:space="preserve">No save loss; 50-generation automated dynasty test</t>
  </si>
  <si>
    <t xml:space="preserve">Reported save loss</t>
  </si>
  <si>
    <t xml:space="preserve">SOC-GE-007</t>
  </si>
  <si>
    <t xml:space="preserve">Basic family tree (list + simple tree)</t>
  </si>
  <si>
    <t xml:space="preserve">Free family tree from day one</t>
  </si>
  <si>
    <t xml:space="preserve">No visual family tree</t>
  </si>
  <si>
    <t xml:space="preserve">SOC-GE-008</t>
  </si>
  <si>
    <t xml:space="preserve">Wider heir choice</t>
  </si>
  <si>
    <t xml:space="preserve">Step-children (Bond 50+), grandchildren, nieces and nephews as distant heirs</t>
  </si>
  <si>
    <t xml:space="preserve">Biological and adopted children</t>
  </si>
  <si>
    <t xml:space="preserve">SOC-GE-009</t>
  </si>
  <si>
    <t xml:space="preserve">Full zoomable tree with accessible list mode</t>
  </si>
  <si>
    <t xml:space="preserve">Zoom, search, filters, colour-independent icons, export</t>
  </si>
  <si>
    <t xml:space="preserve">SOC-AS sharing</t>
  </si>
  <si>
    <t xml:space="preserve">SOC-GE-010</t>
  </si>
  <si>
    <t xml:space="preserve">Dynasty Ambitions</t>
  </si>
  <si>
    <t xml:space="preserve">Pick up to 3 of about 40 multi-generation goals</t>
  </si>
  <si>
    <t xml:space="preserve">SOC-GE-011</t>
  </si>
  <si>
    <t xml:space="preserve">Legacy Points and dynasty perks</t>
  </si>
  <si>
    <t xml:space="preserve">Earn-only LP buy small capped perks</t>
  </si>
  <si>
    <t xml:space="preserve">SOC-GE-012</t>
  </si>
  <si>
    <t xml:space="preserve">Family Name Standing</t>
  </si>
  <si>
    <t xml:space="preserve">Dynasty reputation shaped by fame, crime and charity</t>
  </si>
  <si>
    <t xml:space="preserve">SOC-FA, CORE-CR</t>
  </si>
  <si>
    <t xml:space="preserve">04 Social, Section 4 (priority inferred)</t>
  </si>
  <si>
    <t xml:space="preserve">SOC-GE-013</t>
  </si>
  <si>
    <t xml:space="preserve">Dynasty Chronicle</t>
  </si>
  <si>
    <t xml:space="preserve">Auto-written family history across generations</t>
  </si>
  <si>
    <t xml:space="preserve">SOC-GE-014</t>
  </si>
  <si>
    <t xml:space="preserve">Family Vault daily peek</t>
  </si>
  <si>
    <t xml:space="preserve">Once-a-day optional heirloom reveal to keep a daily loop</t>
  </si>
  <si>
    <t xml:space="preserve">Daily attic mini-game</t>
  </si>
  <si>
    <t xml:space="preserve">CORE-AS heirlooms</t>
  </si>
  <si>
    <t xml:space="preserve">SOC-GE-015</t>
  </si>
  <si>
    <t xml:space="preserve">Plus crest</t>
  </si>
  <si>
    <t xml:space="preserve">Cosmetic Plus crest on the dynasty</t>
  </si>
  <si>
    <t xml:space="preserve">SOC-GE-016</t>
  </si>
  <si>
    <t xml:space="preserve">Crest designs</t>
  </si>
  <si>
    <t xml:space="preserve">Seasonal family crest designs</t>
  </si>
  <si>
    <t xml:space="preserve">SOC-FA-001</t>
  </si>
  <si>
    <t xml:space="preserve">Fame and social media</t>
  </si>
  <si>
    <t xml:space="preserve">Fame meter separate from followers</t>
  </si>
  <si>
    <t xml:space="preserve">Fame 0-100 from any source; followers per platform</t>
  </si>
  <si>
    <t xml:space="preserve">Fame stat since 2019</t>
  </si>
  <si>
    <t xml:space="preserve">04 Social, Section 5 (Priority and access table)</t>
  </si>
  <si>
    <t xml:space="preserve">SOC-FA-002</t>
  </si>
  <si>
    <t xml:space="preserve">Three launch platforms (Vybe, Lenso, Murmur)</t>
  </si>
  <si>
    <t xml:space="preserve">Original fictional platforms with distinct strengths</t>
  </si>
  <si>
    <t xml:space="preserve">Social media accounts</t>
  </si>
  <si>
    <t xml:space="preserve">SOC-SE age modes</t>
  </si>
  <si>
    <t xml:space="preserve">SOC-FA-003</t>
  </si>
  <si>
    <t xml:space="preserve">Post cards with reach and risk</t>
  </si>
  <si>
    <t xml:space="preserve">10 post types each showing reach band and controversy risk</t>
  </si>
  <si>
    <t xml:space="preserve">SOC-FA-004</t>
  </si>
  <si>
    <t xml:space="preserve">Transparent viral formula</t>
  </si>
  <si>
    <t xml:space="preserve">Viral chance from skill, trends, collabs and fatigue, capped at 25%</t>
  </si>
  <si>
    <t xml:space="preserve">SOC-FA-005</t>
  </si>
  <si>
    <t xml:space="preserve">Verification Apply card</t>
  </si>
  <si>
    <t xml:space="preserve">Requirements and progress shown; no hidden thresholds</t>
  </si>
  <si>
    <t xml:space="preserve">Conflicting verification thresholds</t>
  </si>
  <si>
    <t xml:space="preserve">SOC-FA-006</t>
  </si>
  <si>
    <t xml:space="preserve">Basic endorsements with morality clauses</t>
  </si>
  <si>
    <t xml:space="preserve">Brand deals based on fame, audience and image tags</t>
  </si>
  <si>
    <t xml:space="preserve">SOC-FA-007</t>
  </si>
  <si>
    <t xml:space="preserve">Basic scandals linked to real events</t>
  </si>
  <si>
    <t xml:space="preserve">Scandals always trace to an affair, crime or old post</t>
  </si>
  <si>
    <t xml:space="preserve">SOC-FA-008</t>
  </si>
  <si>
    <t xml:space="preserve">All 5 platforms and platform lifecycle</t>
  </si>
  <si>
    <t xml:space="preserve">Adds Hearthcast and Inkwell; platforms trend, plateau and decline</t>
  </si>
  <si>
    <t xml:space="preserve">SOC-FA-009</t>
  </si>
  <si>
    <t xml:space="preserve">Follower tiers (Rising to Icon)</t>
  </si>
  <si>
    <t xml:space="preserve">Rising 10k, Verified 100k, Star 1M, Icon 10M with unlocks</t>
  </si>
  <si>
    <t xml:space="preserve">Social Media Star at about 300-350k</t>
  </si>
  <si>
    <t xml:space="preserve">SOC-FA-010</t>
  </si>
  <si>
    <t xml:space="preserve">PR firm and crisis responses</t>
  </si>
  <si>
    <t xml:space="preserve">Apologise, deny, go quiet, double down or hire crisis PR</t>
  </si>
  <si>
    <t xml:space="preserve">SOC-FA-011</t>
  </si>
  <si>
    <t xml:space="preserve">Cancel and comeback arcs</t>
  </si>
  <si>
    <t xml:space="preserve">Cancelled state with comeback storylets after 1-5 years</t>
  </si>
  <si>
    <t xml:space="preserve">SOC-FA-012</t>
  </si>
  <si>
    <t xml:space="preserve">Family vlogging ethics</t>
  </si>
  <si>
    <t xml:space="preserve">Posting your children affects their later Bond and privacy memories</t>
  </si>
  <si>
    <t xml:space="preserve">SOC-FA-013</t>
  </si>
  <si>
    <t xml:space="preserve">Era-aware media</t>
  </si>
  <si>
    <t xml:space="preserve">Pre-internet fame from newspapers, radio and TV</t>
  </si>
  <si>
    <t xml:space="preserve">SOC-FA-014</t>
  </si>
  <si>
    <t xml:space="preserve">Paparazzi, stalkers and digital detox</t>
  </si>
  <si>
    <t xml:space="preserve">Privacy costs of fame, filtered by age mode</t>
  </si>
  <si>
    <t xml:space="preserve">04 Social, Section 5 (priority inferred)</t>
  </si>
  <si>
    <t xml:space="preserve">SOC-FA-015</t>
  </si>
  <si>
    <t xml:space="preserve">Trend of the Week events</t>
  </si>
  <si>
    <t xml:space="preserve">Platform trend events tied to weekly challenges</t>
  </si>
  <si>
    <t xml:space="preserve">SOC-FA-016</t>
  </si>
  <si>
    <t xml:space="preserve">Fame storylines</t>
  </si>
  <si>
    <t xml:space="preserve">Story Pack arcs such as a reality-TV arc</t>
  </si>
  <si>
    <t xml:space="preserve">SOC-PE-001</t>
  </si>
  <si>
    <t xml:space="preserve">Pets and animals</t>
  </si>
  <si>
    <t xml:space="preserve">Common pets from shelter, breeder or stray</t>
  </si>
  <si>
    <t xml:space="preserve">Dogs, cats, rabbits, fish, birds and more; shelter Karma bonus</t>
  </si>
  <si>
    <t xml:space="preserve">Pets from shelters and breeders</t>
  </si>
  <si>
    <t xml:space="preserve">04 Social, Section 6 (Priority and access table)</t>
  </si>
  <si>
    <t xml:space="preserve">SOC-PE-002</t>
  </si>
  <si>
    <t xml:space="preserve">Pets as characters</t>
  </si>
  <si>
    <t xml:space="preserve">Bond, Health, Age, Temperament and simple memories</t>
  </si>
  <si>
    <t xml:space="preserve">Not verified</t>
  </si>
  <si>
    <t xml:space="preserve">SOC-RE bond model</t>
  </si>
  <si>
    <t xml:space="preserve">SOC-PE-003</t>
  </si>
  <si>
    <t xml:space="preserve">Pet care cards and vet visits</t>
  </si>
  <si>
    <t xml:space="preserve">Walk, play, groom, train, vet, insurance, pet sitter, rehome</t>
  </si>
  <si>
    <t xml:space="preserve">SOC-PE-004</t>
  </si>
  <si>
    <t xml:space="preserve">Pet aging, death and memorial card</t>
  </si>
  <si>
    <t xml:space="preserve">Elderly tag, gentle end-of-life choices, memorial and grief storyline</t>
  </si>
  <si>
    <t xml:space="preserve">SOC-PE-005</t>
  </si>
  <si>
    <t xml:space="preserve">"Pets I've Loved" collection</t>
  </si>
  <si>
    <t xml:space="preserve">Cross-life collection entry for every pet that dies</t>
  </si>
  <si>
    <t xml:space="preserve">SOC-AR collections</t>
  </si>
  <si>
    <t xml:space="preserve">SOC-PE-006</t>
  </si>
  <si>
    <t xml:space="preserve">Exotic and farm animals (free) with legality</t>
  </si>
  <si>
    <t xml:space="preserve">Exotic and farm species free; illegal pets risk confiscation and fines</t>
  </si>
  <si>
    <t xml:space="preserve">Exotic pets 18+ and VIP-gated pet store</t>
  </si>
  <si>
    <t xml:space="preserve">SOC-PE-007</t>
  </si>
  <si>
    <t xml:space="preserve">Horse boarding</t>
  </si>
  <si>
    <t xml:space="preserve">Own a horse without buying a multimillion estate</t>
  </si>
  <si>
    <t xml:space="preserve">Horses need a $5-15M equestrian property</t>
  </si>
  <si>
    <t xml:space="preserve">SOC-PE-008</t>
  </si>
  <si>
    <t xml:space="preserve">Training, tricks and shows</t>
  </si>
  <si>
    <t xml:space="preserve">Pet training and competitions</t>
  </si>
  <si>
    <t xml:space="preserve">SOC-PE-009</t>
  </si>
  <si>
    <t xml:space="preserve">Pets inherited and reacting to family</t>
  </si>
  <si>
    <t xml:space="preserve">Pets react to babies and partners and pass to heirs</t>
  </si>
  <si>
    <t xml:space="preserve">SOC-PE-010</t>
  </si>
  <si>
    <t xml:space="preserve">Animal businesses including zoo</t>
  </si>
  <si>
    <t xml:space="preserve">Small, medium and large zoo, sanctuary, riding school, grooming, kennel</t>
  </si>
  <si>
    <t xml:space="preserve">Zoo expansion pack (paid)</t>
  </si>
  <si>
    <t xml:space="preserve">SOC-PE-011</t>
  </si>
  <si>
    <t xml:space="preserve">Rare legend animal (optional)</t>
  </si>
  <si>
    <t xml:space="preserve">One rare original "legend" animal per dynasty at most</t>
  </si>
  <si>
    <t xml:space="preserve">Rescued unicorn</t>
  </si>
  <si>
    <t xml:space="preserve">04 Social, Section 6 (client decision; priority inferred)</t>
  </si>
  <si>
    <t xml:space="preserve">SOC-PE-012</t>
  </si>
  <si>
    <t xml:space="preserve">Seasonal pet events</t>
  </si>
  <si>
    <t xml:space="preserve">Events such as a Halloween pet costume contest</t>
  </si>
  <si>
    <t xml:space="preserve">SOC-PE-013</t>
  </si>
  <si>
    <t xml:space="preserve">"Wild Kingdom" zoo storylines</t>
  </si>
  <si>
    <t xml:space="preserve">Story Pack zoo and safari storylines; zoo business stays free</t>
  </si>
  <si>
    <t xml:space="preserve">Zoo pack sells the business</t>
  </si>
  <si>
    <t xml:space="preserve">SOC-PE-014</t>
  </si>
  <si>
    <t xml:space="preserve">Pet cosmetics</t>
  </si>
  <si>
    <t xml:space="preserve">Season Pass pet cosmetics</t>
  </si>
  <si>
    <t xml:space="preserve">SOC-AC-001</t>
  </si>
  <si>
    <t xml:space="preserve">Activities hub</t>
  </si>
  <si>
    <t xml:space="preserve">Life hub with life feed</t>
  </si>
  <si>
    <t xml:space="preserve">Home screen with this year's events, contextual cards and the Age +1 button</t>
  </si>
  <si>
    <t xml:space="preserve">Single growing Activities tab</t>
  </si>
  <si>
    <t xml:space="preserve">04 Social, Section 7 (Priority and access table)</t>
  </si>
  <si>
    <t xml:space="preserve">SOC-AC-002</t>
  </si>
  <si>
    <t xml:space="preserve">Contextual action cards</t>
  </si>
  <si>
    <t xml:space="preserve">3-6 suggested actions by urgency, relationship stake, opportunity, habit, novelty</t>
  </si>
  <si>
    <t xml:space="preserve">SOC-RE, CORE-HE</t>
  </si>
  <si>
    <t xml:space="preserve">SOC-AC-003</t>
  </si>
  <si>
    <t xml:space="preserve">Search / command bar (English)</t>
  </si>
  <si>
    <t xml:space="preserve">"What do you want to do?" bar at the bottom in the thumb zone; synonyms, typos, offline index</t>
  </si>
  <si>
    <t xml:space="preserve">Nested Activities menus</t>
  </si>
  <si>
    <t xml:space="preserve">Resolved decision: search bar at bottom (Social note text says top; being updated)</t>
  </si>
  <si>
    <t xml:space="preserve">SOC-AC-004</t>
  </si>
  <si>
    <t xml:space="preserve">Search in 5 languages</t>
  </si>
  <si>
    <t xml:space="preserve">Translated keywords and synonyms per locale</t>
  </si>
  <si>
    <t xml:space="preserve">Localisation pipeline</t>
  </si>
  <si>
    <t xml:space="preserve">SOC-AC-005</t>
  </si>
  <si>
    <t xml:space="preserve">Browse by 10 categories</t>
  </si>
  <si>
    <t xml:space="preserve">Health &amp; Body to Pets &amp; Animals</t>
  </si>
  <si>
    <t xml:space="preserve">Activities list</t>
  </si>
  <si>
    <t xml:space="preserve">SOC-AC-006</t>
  </si>
  <si>
    <t xml:space="preserve">Action card anatomy</t>
  </si>
  <si>
    <t xml:space="preserve">Title, cost, time slot, age gate, odds hint and consequences preview</t>
  </si>
  <si>
    <t xml:space="preserve">SOC-AC-007</t>
  </si>
  <si>
    <t xml:space="preserve">"Why locked" panel and "Remind me"</t>
  </si>
  <si>
    <t xml:space="preserve">Every locked action shows a reason, unlock hint and reminder</t>
  </si>
  <si>
    <t xml:space="preserve">Actions hidden or failing silently</t>
  </si>
  <si>
    <t xml:space="preserve">SOC-AC-008</t>
  </si>
  <si>
    <t xml:space="preserve">Leisure time slots</t>
  </si>
  <si>
    <t xml:space="preserve">6 free-time slots a year for leisure actions; accessibility can relax it</t>
  </si>
  <si>
    <t xml:space="preserve">CORE-CL energy</t>
  </si>
  <si>
    <t xml:space="preserve">SOC-AC-009</t>
  </si>
  <si>
    <t xml:space="preserve">All BitLife Activities items mapped</t>
  </si>
  <si>
    <t xml:space="preserve">Every documented Activities item has a card or a moved home</t>
  </si>
  <si>
    <t xml:space="preserve">All modules</t>
  </si>
  <si>
    <t xml:space="preserve">SOC-AC-010</t>
  </si>
  <si>
    <t xml:space="preserve">Licences with accessible tests</t>
  </si>
  <si>
    <t xml:space="preserve">Driving, boating, pilot, motorbike, firearms (country data)</t>
  </si>
  <si>
    <t xml:space="preserve">Licences</t>
  </si>
  <si>
    <t xml:space="preserve">SOC-AC-011</t>
  </si>
  <si>
    <t xml:space="preserve">Shopping</t>
  </si>
  <si>
    <t xml:space="preserve">Clothes, gifts, electronics, jewellery, vehicles, homes, furniture</t>
  </si>
  <si>
    <t xml:space="preserve">Shopping (mechanics not found)</t>
  </si>
  <si>
    <t xml:space="preserve">SOC-AC-012</t>
  </si>
  <si>
    <t xml:space="preserve">Vacations and honeymoons</t>
  </si>
  <si>
    <t xml:space="preserve">Destinations from country data with events</t>
  </si>
  <si>
    <t xml:space="preserve">Vacation</t>
  </si>
  <si>
    <t xml:space="preserve">SOC-AC-013</t>
  </si>
  <si>
    <t xml:space="preserve">Nightlife</t>
  </si>
  <si>
    <t xml:space="preserve">Clubs, bars, concerts, comedy nights, house parties</t>
  </si>
  <si>
    <t xml:space="preserve">Nightlife (mechanics not found)</t>
  </si>
  <si>
    <t xml:space="preserve">SOC-LO, CORE-HE</t>
  </si>
  <si>
    <t xml:space="preserve">SOC-AC-014</t>
  </si>
  <si>
    <t xml:space="preserve">Turn yourself in</t>
  </si>
  <si>
    <t xml:space="preserve">Surrender to police with a sentence estimate</t>
  </si>
  <si>
    <t xml:space="preserve">Surrender</t>
  </si>
  <si>
    <t xml:space="preserve">SOC-AC-015</t>
  </si>
  <si>
    <t xml:space="preserve">Black market (free)</t>
  </si>
  <si>
    <t xml:space="preserve">Black-market purchases for criminal contacts; no ads</t>
  </si>
  <si>
    <t xml:space="preserve">Black Market pack (paid)</t>
  </si>
  <si>
    <t xml:space="preserve">SOC-AC-016</t>
  </si>
  <si>
    <t xml:space="preserve">No ads inside activities</t>
  </si>
  <si>
    <t xml:space="preserve">Activities never play ads</t>
  </si>
  <si>
    <t xml:space="preserve">Ads after gifts, lessons, praying</t>
  </si>
  <si>
    <t xml:space="preserve">SOC-PR ad rules</t>
  </si>
  <si>
    <t xml:space="preserve">SOC-AC-017</t>
  </si>
  <si>
    <t xml:space="preserve">Party system with guest lists</t>
  </si>
  <si>
    <t xml:space="preserve">Party types, venue, budget, theme, guest list, highlight events, outcomes</t>
  </si>
  <si>
    <t xml:space="preserve">SOC-RE, CORE-AS</t>
  </si>
  <si>
    <t xml:space="preserve">SOC-AC-018</t>
  </si>
  <si>
    <t xml:space="preserve">Faith &amp; Community actions</t>
  </si>
  <si>
    <t xml:space="preserve">Services, prayer, holidays, pilgrimage, convert or leave; no ads after prayer</t>
  </si>
  <si>
    <t xml:space="preserve">Prayer with ads</t>
  </si>
  <si>
    <t xml:space="preserve">SOC-AC-019</t>
  </si>
  <si>
    <t xml:space="preserve">Favourites quick bar</t>
  </si>
  <si>
    <t xml:space="preserve">Pin up to 8 actions</t>
  </si>
  <si>
    <t xml:space="preserve">SOC-AC-020</t>
  </si>
  <si>
    <t xml:space="preserve">Volunteering and hobbies</t>
  </si>
  <si>
    <t xml:space="preserve">Community volunteering and hobby actions</t>
  </si>
  <si>
    <t xml:space="preserve">04 Social, Section 7 (priority inferred)</t>
  </si>
  <si>
    <t xml:space="preserve">SOC-AC-021</t>
  </si>
  <si>
    <t xml:space="preserve">Seasonal activity cards</t>
  </si>
  <si>
    <t xml:space="preserve">Holiday-event cards on the free track</t>
  </si>
  <si>
    <t xml:space="preserve">SOC-AC-022</t>
  </si>
  <si>
    <t xml:space="preserve">Pack-themed activity storylines</t>
  </si>
  <si>
    <t xml:space="preserve">Story Pack activity storylines only</t>
  </si>
  <si>
    <t xml:space="preserve">SOC-ID-001</t>
  </si>
  <si>
    <t xml:space="preserve">Identity and inclusion</t>
  </si>
  <si>
    <t xml:space="preserve">Identity fields at creation</t>
  </si>
  <si>
    <t xml:space="preserve">Gender identity, orientation and romantic interests set at creation and changeable in life</t>
  </si>
  <si>
    <t xml:space="preserve">Identity in Activities (v1.38)</t>
  </si>
  <si>
    <t xml:space="preserve">04 Social, Section 8 (Priority and access table)</t>
  </si>
  <si>
    <t xml:space="preserve">SOC-ID-002</t>
  </si>
  <si>
    <t xml:space="preserve">Pronoun engine (English)</t>
  </si>
  <si>
    <t xml:space="preserve">she/her, he/him, they/them and custom sets via validated text tokens</t>
  </si>
  <si>
    <t xml:space="preserve">they/them reportedly replaced</t>
  </si>
  <si>
    <t xml:space="preserve">SOC-ID-003</t>
  </si>
  <si>
    <t xml:space="preserve">Pronouns in 5 languages</t>
  </si>
  <si>
    <t xml:space="preserve">Language-specific neutral forms reviewed by native writers</t>
  </si>
  <si>
    <t xml:space="preserve">SOC-ID-004</t>
  </si>
  <si>
    <t xml:space="preserve">Diverse families at birth</t>
  </si>
  <si>
    <t xml:space="preserve">Same-sex, single, adoptive and grandparent-led families</t>
  </si>
  <si>
    <t xml:space="preserve">Random two dads or two moms</t>
  </si>
  <si>
    <t xml:space="preserve">SOC-ID-005</t>
  </si>
  <si>
    <t xml:space="preserve">Legal name change</t>
  </si>
  <si>
    <t xml:space="preserve">By country age rules and cost</t>
  </si>
  <si>
    <t xml:space="preserve">Name change 18+</t>
  </si>
  <si>
    <t xml:space="preserve">SOC-ID-006</t>
  </si>
  <si>
    <t xml:space="preserve">Basic inclusive avatar</t>
  </si>
  <si>
    <t xml:space="preserve">Wide skin tones, hair textures, body types, aids; ages through 4 stages</t>
  </si>
  <si>
    <t xml:space="preserve">Appearance editing paid, ages 21-44</t>
  </si>
  <si>
    <t xml:space="preserve">CORE-HE aging</t>
  </si>
  <si>
    <t xml:space="preserve">SOC-ID-007</t>
  </si>
  <si>
    <t xml:space="preserve">Full avatar set (8 stages)</t>
  </si>
  <si>
    <t xml:space="preserve">40+ skin tones, vitiligo, mobility aids, prosthetics, religious dress, tattoos</t>
  </si>
  <si>
    <t xml:space="preserve">SOC-ID-008</t>
  </si>
  <si>
    <t xml:space="preserve">Avatar alt text</t>
  </si>
  <si>
    <t xml:space="preserve">Auto-generated one-sentence description per life stage</t>
  </si>
  <si>
    <t xml:space="preserve">04 Social, Section 8 (acceptance criteria; priority inferred)</t>
  </si>
  <si>
    <t xml:space="preserve">SOC-ID-009</t>
  </si>
  <si>
    <t xml:space="preserve">Coming-out and acceptance storylines</t>
  </si>
  <si>
    <t xml:space="preserve">Family reactions by traits, faith and country; never a stat penalty</t>
  </si>
  <si>
    <t xml:space="preserve">SOC-ID-010</t>
  </si>
  <si>
    <t xml:space="preserve">Country legal climate data</t>
  </si>
  <si>
    <t xml:space="preserve">Marriage equality and legal gender recognition shown neutrally</t>
  </si>
  <si>
    <t xml:space="preserve">SOC-ID-011</t>
  </si>
  <si>
    <t xml:space="preserve">Chosen family</t>
  </si>
  <si>
    <t xml:space="preserve">Mark friends as chosen family for holidays, emergencies, heirs</t>
  </si>
  <si>
    <t xml:space="preserve">SOC-ID-012</t>
  </si>
  <si>
    <t xml:space="preserve">Gender-affirming care steps</t>
  </si>
  <si>
    <t xml:space="preserve">Counselling, medical and legal steps in non-graphic text</t>
  </si>
  <si>
    <t xml:space="preserve">Gender change at any age (sources conflict)</t>
  </si>
  <si>
    <t xml:space="preserve">04 Social, Section 8 (priority inferred)</t>
  </si>
  <si>
    <t xml:space="preserve">SOC-ID-013</t>
  </si>
  <si>
    <t xml:space="preserve">Cosmetic avatar outfits</t>
  </si>
  <si>
    <t xml:space="preserve">Outfits and accessories via seasons and shop; no identity or cultural item is paid</t>
  </si>
  <si>
    <t xml:space="preserve">SOC-AR-001</t>
  </si>
  <si>
    <t xml:space="preserve">Achievements, Titles and Recap</t>
  </si>
  <si>
    <t xml:space="preserve">Achievements (150 at MVP)</t>
  </si>
  <si>
    <t xml:space="preserve">Tiers, visible requirements, progress bars, secret ones with hints</t>
  </si>
  <si>
    <t xml:space="preserve">About 157-300+ achievements</t>
  </si>
  <si>
    <t xml:space="preserve">04 Social, Section 9 (Priority and access table)</t>
  </si>
  <si>
    <t xml:space="preserve">SOC-AR-002</t>
  </si>
  <si>
    <t xml:space="preserve">250 achievements and platform sync</t>
  </si>
  <si>
    <t xml:space="preserve">Game Center / Play Games sync for a curated 100</t>
  </si>
  <si>
    <t xml:space="preserve">Achievements</t>
  </si>
  <si>
    <t xml:space="preserve">SOC-AR-003</t>
  </si>
  <si>
    <t xml:space="preserve">Life Titles (25 at MVP) with transparent scoring</t>
  </si>
  <si>
    <t xml:space="preserve">One main and up to two minor Titles per life from a published theme score</t>
  </si>
  <si>
    <t xml:space="preserve">Ribbons with hidden override rules</t>
  </si>
  <si>
    <t xml:space="preserve">CORE-CL life log</t>
  </si>
  <si>
    <t xml:space="preserve">Resolved decision: name "Life Titles"</t>
  </si>
  <si>
    <t xml:space="preserve">SOC-AR-004</t>
  </si>
  <si>
    <t xml:space="preserve">40 Life Titles and "Almost" titles</t>
  </si>
  <si>
    <t xml:space="preserve">Tombstone shows near-miss Titles to teach the system</t>
  </si>
  <si>
    <t xml:space="preserve">Ribbons</t>
  </si>
  <si>
    <t xml:space="preserve">SOC-AR-005</t>
  </si>
  <si>
    <t xml:space="preserve">Tombstone</t>
  </si>
  <si>
    <t xml:space="preserve">Name, dates, avatar, epitaph, Titles, net worth, top moments</t>
  </si>
  <si>
    <t xml:space="preserve">Tombstone with one ribbon</t>
  </si>
  <si>
    <t xml:space="preserve">SOC-AR-006</t>
  </si>
  <si>
    <t xml:space="preserve">Epitaph writer</t>
  </si>
  <si>
    <t xml:space="preserve">Choose generated epitaphs or write your own with a filter</t>
  </si>
  <si>
    <t xml:space="preserve">04 Social, Section 9 (priority inferred)</t>
  </si>
  <si>
    <t xml:space="preserve">SOC-AR-007</t>
  </si>
  <si>
    <t xml:space="preserve">Basic Life Recap (6 cards, image export)</t>
  </si>
  <si>
    <t xml:space="preserve">Wrapped-style recap cards with one-tap sharing</t>
  </si>
  <si>
    <t xml:space="preserve">No recap or sharing</t>
  </si>
  <si>
    <t xml:space="preserve">CORE-CL timeline</t>
  </si>
  <si>
    <t xml:space="preserve">SOC-AR-008</t>
  </si>
  <si>
    <t xml:space="preserve">Full Life Recap (video, Archetype, Chaos Index)</t>
  </si>
  <si>
    <t xml:space="preserve">8-12 card 9:16 sequence with Life Archetype and Chaos Index</t>
  </si>
  <si>
    <t xml:space="preserve">SOC-AR-009</t>
  </si>
  <si>
    <t xml:space="preserve">Recap privacy toggles and share-safe filter</t>
  </si>
  <si>
    <t xml:space="preserve">Hide NPC names, crimes, net worth, cause of death, avatar</t>
  </si>
  <si>
    <t xml:space="preserve">SOC-AR-010</t>
  </si>
  <si>
    <t xml:space="preserve">Dynasty Recap</t>
  </si>
  <si>
    <t xml:space="preserve">Short recap of the whole family line per generation</t>
  </si>
  <si>
    <t xml:space="preserve">SOC-AR-011</t>
  </si>
  <si>
    <t xml:space="preserve">Collections (careers, countries, Titles)</t>
  </si>
  <si>
    <t xml:space="preserve">Cross-life collections with "where to find" hints</t>
  </si>
  <si>
    <t xml:space="preserve">SOC-AR-012</t>
  </si>
  <si>
    <t xml:space="preserve">All collections and Life Museum</t>
  </si>
  <si>
    <t xml:space="preserve">Pets, heirlooms, causes of death, rare events, dynasties, eras; gallery of past lives</t>
  </si>
  <si>
    <t xml:space="preserve">SOC-AS</t>
  </si>
  <si>
    <t xml:space="preserve">SOC-AR-013</t>
  </si>
  <si>
    <t xml:space="preserve">Seasonal Titles and Year in Review</t>
  </si>
  <si>
    <t xml:space="preserve">Seasonal Titles and a yearly player review</t>
  </si>
  <si>
    <t xml:space="preserve">SOC-AR-014</t>
  </si>
  <si>
    <t xml:space="preserve">Recap frames and tombstone styles</t>
  </si>
  <si>
    <t xml:space="preserve">Cosmetic recap frames and tombstone styles; never Titles or achievements</t>
  </si>
  <si>
    <t xml:space="preserve">SOC-AR-015</t>
  </si>
  <si>
    <t xml:space="preserve">Pack achievements shelf</t>
  </si>
  <si>
    <t xml:space="preserve">Pack achievements on a separate shelf; never count toward completion %</t>
  </si>
  <si>
    <t xml:space="preserve">Achievements grow with paid packs</t>
  </si>
  <si>
    <t xml:space="preserve">SOC-CE-001</t>
  </si>
  <si>
    <t xml:space="preserve">Challenges and events</t>
  </si>
  <si>
    <t xml:space="preserve">Weekly challenges with fairness validator</t>
  </si>
  <si>
    <t xml:space="preserve">4-6 tasks; every task completable with free content, bot-validated</t>
  </si>
  <si>
    <t xml:space="preserve">Weekly challenges since 2020</t>
  </si>
  <si>
    <t xml:space="preserve">SOC-AR, sim bot</t>
  </si>
  <si>
    <t xml:space="preserve">04 Social, Section 10 (Priority and access table)</t>
  </si>
  <si>
    <t xml:space="preserve">SOC-CE-002</t>
  </si>
  <si>
    <t xml:space="preserve">Daily goals</t>
  </si>
  <si>
    <t xml:space="preserve">3 small narrative goals a day</t>
  </si>
  <si>
    <t xml:space="preserve">SOC-PR Sparks</t>
  </si>
  <si>
    <t xml:space="preserve">SOC-CE-003</t>
  </si>
  <si>
    <t xml:space="preserve">Forgiving streak with free weekly freeze</t>
  </si>
  <si>
    <t xml:space="preserve">1 free freeze a week; repair by doing 2 goals next day; no paid repairs</t>
  </si>
  <si>
    <t xml:space="preserve">SOC-CE-004</t>
  </si>
  <si>
    <t xml:space="preserve">Challenge Archive (free replay)</t>
  </si>
  <si>
    <t xml:space="preserve">Past challenges replayable for free; unlocked with earn-only Sparks</t>
  </si>
  <si>
    <t xml:space="preserve">Paid challenge vault (~$4.99)</t>
  </si>
  <si>
    <t xml:space="preserve">04 Social, Section 10; 06 Monetization, Section 5</t>
  </si>
  <si>
    <t xml:space="preserve">SOC-CE-005</t>
  </si>
  <si>
    <t xml:space="preserve">Challenge rewards (cosmetics, LP, badges)</t>
  </si>
  <si>
    <t xml:space="preserve">Themed cosmetic, collection entry, LP and a badge; no power items</t>
  </si>
  <si>
    <t xml:space="preserve">One-off in-game item</t>
  </si>
  <si>
    <t xml:space="preserve">SOC-CE-006</t>
  </si>
  <si>
    <t xml:space="preserve">Short server share codes and deep links</t>
  </si>
  <si>
    <t xml:space="preserve">EL- codes mapped to a server record; deep links and web links</t>
  </si>
  <si>
    <t xml:space="preserve">No share code system</t>
  </si>
  <si>
    <t xml:space="preserve">SOC-CE-007</t>
  </si>
  <si>
    <t xml:space="preserve">Seasonal events (2 per quarter) with free track</t>
  </si>
  <si>
    <t xml:space="preserve">Halloween, winter, Lunar New Year, Pride, summer, anniversary</t>
  </si>
  <si>
    <t xml:space="preserve">Limited 2026 events</t>
  </si>
  <si>
    <t xml:space="preserve">SOC-PR Season Pass</t>
  </si>
  <si>
    <t xml:space="preserve">SOC-CE-008</t>
  </si>
  <si>
    <t xml:space="preserve">Community "Together" goals</t>
  </si>
  <si>
    <t xml:space="preserve">All players together reach a shared goal</t>
  </si>
  <si>
    <t xml:space="preserve">SOC-CE-009</t>
  </si>
  <si>
    <t xml:space="preserve">Full event calendar</t>
  </si>
  <si>
    <t xml:space="preserve">Year-round LiveOps calendar via Remote Config</t>
  </si>
  <si>
    <t xml:space="preserve">07 Retention and LiveOps</t>
  </si>
  <si>
    <t xml:space="preserve">SOC-AS-001</t>
  </si>
  <si>
    <t xml:space="preserve">Async social and Creator Mode</t>
  </si>
  <si>
    <t xml:space="preserve">Friends list</t>
  </si>
  <si>
    <t xml:space="preserve">Friend codes, QR, platform friends, opt-in hashed contacts</t>
  </si>
  <si>
    <t xml:space="preserve">No friends list</t>
  </si>
  <si>
    <t xml:space="preserve">Accounts backend</t>
  </si>
  <si>
    <t xml:space="preserve">04 Social, Section 11 (Priority and access table)</t>
  </si>
  <si>
    <t xml:space="preserve">SOC-AS-002</t>
  </si>
  <si>
    <t xml:space="preserve">Life Museum visits</t>
  </si>
  <si>
    <t xml:space="preserve">Browse a friend's recaps, tombstones, Titles and tree within privacy settings</t>
  </si>
  <si>
    <t xml:space="preserve">No official sharing</t>
  </si>
  <si>
    <t xml:space="preserve">SOC-AS-003</t>
  </si>
  <si>
    <t xml:space="preserve">Postcards (12 preset reactions)</t>
  </si>
  <si>
    <t xml:space="preserve">Preset reactions, no free text</t>
  </si>
  <si>
    <t xml:space="preserve">SOC-AS-004</t>
  </si>
  <si>
    <t xml:space="preserve">Leaderboards with Assisted separation</t>
  </si>
  <si>
    <t xml:space="preserve">Friends, country, global boards per seed and challenge; assisted runs separate</t>
  </si>
  <si>
    <t xml:space="preserve">SOC-AS-005</t>
  </si>
  <si>
    <t xml:space="preserve">Gifting earned cosmetics</t>
  </si>
  <si>
    <t xml:space="preserve">Up to 5 gifts a day of earned cosmetics and heirloom replicas</t>
  </si>
  <si>
    <t xml:space="preserve">SOC-AS-006</t>
  </si>
  <si>
    <t xml:space="preserve">Plus profile frames</t>
  </si>
  <si>
    <t xml:space="preserve">Extra profile frames for Plus owners</t>
  </si>
  <si>
    <t xml:space="preserve">SOC-AS-007</t>
  </si>
  <si>
    <t xml:space="preserve">Cameo NPCs</t>
  </si>
  <si>
    <t xml:space="preserve">Friends' finished characters appear as NPCs with permission</t>
  </si>
  <si>
    <t xml:space="preserve">SOC-AS-008</t>
  </si>
  <si>
    <t xml:space="preserve">Shared family trees</t>
  </si>
  <si>
    <t xml:space="preserve">Link two dynasties through an in-game marriage; both consent</t>
  </si>
  <si>
    <t xml:space="preserve">SOC-AS-009</t>
  </si>
  <si>
    <t xml:space="preserve">Creator Mode stage 1: seed + rules</t>
  </si>
  <si>
    <t xml:space="preserve">Start conditions and rule modifiers with preset tags</t>
  </si>
  <si>
    <t xml:space="preserve">Scenario Creator (v1.18)</t>
  </si>
  <si>
    <t xml:space="preserve">SOC-AS-010</t>
  </si>
  <si>
    <t xml:space="preserve">Creator Mode stage 2: goal sets</t>
  </si>
  <si>
    <t xml:space="preserve">Custom challenges using the weekly-challenge task builder</t>
  </si>
  <si>
    <t xml:space="preserve">SOC-AS-011</t>
  </si>
  <si>
    <t xml:space="preserve">Creator Mode stage 3: custom storylets</t>
  </si>
  <si>
    <t xml:space="preserve">Block-based events with text editor; human review before public listing</t>
  </si>
  <si>
    <t xml:space="preserve">SOC-AS-012</t>
  </si>
  <si>
    <t xml:space="preserve">UGC moderation, report and block</t>
  </si>
  <si>
    <t xml:space="preserve">Validator, text filter, moderation model, human queue, strikes</t>
  </si>
  <si>
    <t xml:space="preserve">SOC-AS-013</t>
  </si>
  <si>
    <t xml:space="preserve">Real-time experiments</t>
  </si>
  <si>
    <t xml:space="preserve">"Life Party" voting, turn-based co-op, live events (evaluated after launch)</t>
  </si>
  <si>
    <t xml:space="preserve">Petition for multiplayer</t>
  </si>
  <si>
    <t xml:space="preserve">SOC-PR-001</t>
  </si>
  <si>
    <t xml:space="preserve">Premium and editor tools</t>
  </si>
  <si>
    <t xml:space="preserve">Relivable Plus one-time unlock ($9.99)</t>
  </si>
  <si>
    <t xml:space="preserve">No ads, up to 8 generations, Destiny Mode, unlimited Rewind, extra save slots</t>
  </si>
  <si>
    <t xml:space="preserve">VIP / Bitizenship ($7.99) + God Mode ($9.99)</t>
  </si>
  <si>
    <t xml:space="preserve">RevenueCat, Firebase Auth</t>
  </si>
  <si>
    <t xml:space="preserve">04 Social, Section 12; 06 Monetization P1</t>
  </si>
  <si>
    <t xml:space="preserve">SOC-PR-002</t>
  </si>
  <si>
    <t xml:space="preserve">No Ads ($2.99) and Plus Upgrade ($6.99)</t>
  </si>
  <si>
    <t xml:space="preserve">Low first-spend door; upgrade price never double-charges</t>
  </si>
  <si>
    <t xml:space="preserve">Remove Ads ($2.99)</t>
  </si>
  <si>
    <t xml:space="preserve">06 Monetization P2-P3 (priority inferred)</t>
  </si>
  <si>
    <t xml:space="preserve">SOC-PR-003</t>
  </si>
  <si>
    <t xml:space="preserve">Destiny Mode core (self edits)</t>
  </si>
  <si>
    <t xml:space="preserve">Edit own name, identity, appearance at any age, visible and hidden stats, traits</t>
  </si>
  <si>
    <t xml:space="preserve">Editor unlock ($9.99), ages 21-44</t>
  </si>
  <si>
    <t xml:space="preserve">04 Social, Section 12; 06 Monetization (Priority and access table)</t>
  </si>
  <si>
    <t xml:space="preserve">SOC-PR-004</t>
  </si>
  <si>
    <t xml:space="preserve">Full Destiny Mode (NPCs, world, odds view)</t>
  </si>
  <si>
    <t xml:space="preserve">Edit NPC stats, Bond and facets, memories; world settings; exact odds on cards</t>
  </si>
  <si>
    <t xml:space="preserve">Editor unlock</t>
  </si>
  <si>
    <t xml:space="preserve">SOC-PR-005</t>
  </si>
  <si>
    <t xml:space="preserve">Destiny Mode preview</t>
  </si>
  <si>
    <t xml:space="preserve">View your own hidden facets on the tombstone for free</t>
  </si>
  <si>
    <t xml:space="preserve">SOC-PR-006</t>
  </si>
  <si>
    <t xml:space="preserve">Plus save slots</t>
  </si>
  <si>
    <t xml:space="preserve">More active lives and dynasties at once (10 per note 06; 12 per note 04)</t>
  </si>
  <si>
    <t xml:space="preserve">06 Monetization P1 vs 04 Social, Section 12 (count to confirm)</t>
  </si>
  <si>
    <t xml:space="preserve">SOC-PR-007</t>
  </si>
  <si>
    <t xml:space="preserve">Rewarded ads framework with caps</t>
  </si>
  <si>
    <t xml:space="preserve">Opt-in rewarded video only; 4 per session, 8 per day, 90 s cooldown; never mid-story</t>
  </si>
  <si>
    <t xml:space="preserve">Interstitial and forced ads</t>
  </si>
  <si>
    <t xml:space="preserve">Ad mediation, CMP</t>
  </si>
  <si>
    <t xml:space="preserve">Resolved decision: rewarded-only, 4/session, 8/day</t>
  </si>
  <si>
    <t xml:space="preserve">SOC-PR-008</t>
  </si>
  <si>
    <t xml:space="preserve">Ad placement: Second opinion</t>
  </si>
  <si>
    <t xml:space="preserve">Reveal odds band and hidden factors of one risky choice (3/day)</t>
  </si>
  <si>
    <t xml:space="preserve">06 Monetization, Section 4</t>
  </si>
  <si>
    <t xml:space="preserve">SOC-PR-009</t>
  </si>
  <si>
    <t xml:space="preserve">Ad placement: Lucky break</t>
  </si>
  <si>
    <t xml:space="preserve">Retry one failed non-death minor action (2/day)</t>
  </si>
  <si>
    <t xml:space="preserve">SOC-PR-010</t>
  </si>
  <si>
    <t xml:space="preserve">Ad placement: Sparks bonus</t>
  </si>
  <si>
    <t xml:space="preserve">+50 Sparks (3/day)</t>
  </si>
  <si>
    <t xml:space="preserve">SOC-PR-011</t>
  </si>
  <si>
    <t xml:space="preserve">Ad placement: Season boost</t>
  </si>
  <si>
    <t xml:space="preserve">+1 tier of free Season track progress (1/day)</t>
  </si>
  <si>
    <t xml:space="preserve">SOC-PR-012</t>
  </si>
  <si>
    <t xml:space="preserve">Ad placement: Daily goal reroll</t>
  </si>
  <si>
    <t xml:space="preserve">Replace one daily goal (1/day)</t>
  </si>
  <si>
    <t xml:space="preserve">SOC-PR-013</t>
  </si>
  <si>
    <t xml:space="preserve">Purchase suppresses ad offers</t>
  </si>
  <si>
    <t xml:space="preserve">Any purchase hides ad offers for 7 days; No Ads and Plus hide them forever</t>
  </si>
  <si>
    <t xml:space="preserve">Ads after buying ad removal</t>
  </si>
  <si>
    <t xml:space="preserve">SOC-PR-014</t>
  </si>
  <si>
    <t xml:space="preserve">Sparks earn-only soft currency</t>
  </si>
  <si>
    <t xml:space="preserve">One account-wide earn-only currency; never sold, never converts</t>
  </si>
  <si>
    <t xml:space="preserve">Resolved decision: earn-only Sparks; 06 Monetization, Section 5</t>
  </si>
  <si>
    <t xml:space="preserve">SOC-PR-015</t>
  </si>
  <si>
    <t xml:space="preserve">Save slots via Sparks</t>
  </si>
  <si>
    <t xml:space="preserve">Free players can buy extra save slots with Sparks (up to 5)</t>
  </si>
  <si>
    <t xml:space="preserve">06 Monetization, Section 5 (priority inferred)</t>
  </si>
  <si>
    <t xml:space="preserve">SOC-PR-016</t>
  </si>
  <si>
    <t xml:space="preserve">Account-based restore and server validation</t>
  </si>
  <si>
    <t xml:space="preserve">Purchases tied to the account and restored on any device; Restore button</t>
  </si>
  <si>
    <t xml:space="preserve">Lost purchases after phone changes</t>
  </si>
  <si>
    <t xml:space="preserve">RevenueCat, StoreKit 2, Play</t>
  </si>
  <si>
    <t xml:space="preserve">SOC-PR-017</t>
  </si>
  <si>
    <t xml:space="preserve">Cross-platform entitlements</t>
  </si>
  <si>
    <t xml:space="preserve">Purchases unlock on other platforms where store rules allow</t>
  </si>
  <si>
    <t xml:space="preserve">Separate language apps, no transfer</t>
  </si>
  <si>
    <t xml:space="preserve">RevenueCat</t>
  </si>
  <si>
    <t xml:space="preserve">SOC-PR-018</t>
  </si>
  <si>
    <t xml:space="preserve">"My purchases" support flow</t>
  </si>
  <si>
    <t xml:space="preserve">Order list with order IDs and one-tap support ticket</t>
  </si>
  <si>
    <t xml:space="preserve">04 Social, Section 12 (priority inferred)</t>
  </si>
  <si>
    <t xml:space="preserve">SOC-PR-019</t>
  </si>
  <si>
    <t xml:space="preserve">Published "What Plus includes" page</t>
  </si>
  <si>
    <t xml:space="preserve">Versioned list of Plus contents that only grows</t>
  </si>
  <si>
    <t xml:space="preserve">Boss Mode did not include later packs</t>
  </si>
  <si>
    <t xml:space="preserve">SOC-PR-020</t>
  </si>
  <si>
    <t xml:space="preserve">Natural upsell moments only</t>
  </si>
  <si>
    <t xml:space="preserve">Upsells only at the generation cap, Rewind used up or a locked Destiny action</t>
  </si>
  <si>
    <t xml:space="preserve">Paywall pop-ups</t>
  </si>
  <si>
    <t xml:space="preserve">SOC-PR-021</t>
  </si>
  <si>
    <t xml:space="preserve">Cosmetics shelf (direct prices)</t>
  </si>
  <si>
    <t xml:space="preserve">Small set of cosmetic sets at $0.99-1.99; no loot boxes, no premium currency</t>
  </si>
  <si>
    <t xml:space="preserve">SOC-ID, CORE-AS</t>
  </si>
  <si>
    <t xml:space="preserve">SOC-PR-022</t>
  </si>
  <si>
    <t xml:space="preserve">Welcome Pack ($1.99)</t>
  </si>
  <si>
    <t xml:space="preserve">One-time cosmetic starter offered after the first life ends</t>
  </si>
  <si>
    <t xml:space="preserve">06 Monetization P6 (priority inferred)</t>
  </si>
  <si>
    <t xml:space="preserve">SOC-PR-023</t>
  </si>
  <si>
    <t xml:space="preserve">Season Pass paid track ($4.99)</t>
  </si>
  <si>
    <t xml:space="preserve">Cosmetics and bonus story chapters; no paid tier skips</t>
  </si>
  <si>
    <t xml:space="preserve">Seasons pass (ended Aug 2026)</t>
  </si>
  <si>
    <t xml:space="preserve">SOC-PR-024</t>
  </si>
  <si>
    <t xml:space="preserve">Season Pass free track</t>
  </si>
  <si>
    <t xml:space="preserve">Free rewards and the main season storyline for everyone</t>
  </si>
  <si>
    <t xml:space="preserve">Seasons pass</t>
  </si>
  <si>
    <t xml:space="preserve">SOC-PR-025</t>
  </si>
  <si>
    <t xml:space="preserve">Story Packs (2-3 at launch)</t>
  </si>
  <si>
    <t xml:space="preserve">$2.99 small / $3.99 large storyline packs; never careers or systems</t>
  </si>
  <si>
    <t xml:space="preserve">$7.99 expansion packs</t>
  </si>
  <si>
    <t xml:space="preserve">SOC-PR-026</t>
  </si>
  <si>
    <t xml:space="preserve">Founder's Bundle ($14.99)</t>
  </si>
  <si>
    <t xml:space="preserve">Plus + 2 large Story Packs + founder crest for 60 days at launch</t>
  </si>
  <si>
    <t xml:space="preserve">$15.99 bundle</t>
  </si>
  <si>
    <t xml:space="preserve">06 Monetization P8 (priority inferred)</t>
  </si>
  <si>
    <t xml:space="preserve">SOC-PR-027</t>
  </si>
  <si>
    <t xml:space="preserve">Complete Collection ($24.99)</t>
  </si>
  <si>
    <t xml:space="preserve">Plus + all released Story Packs</t>
  </si>
  <si>
    <t xml:space="preserve">06 Monetization P9 (priority inferred)</t>
  </si>
  <si>
    <t xml:space="preserve">SOC-PR-028</t>
  </si>
  <si>
    <t xml:space="preserve">Web shop (US)</t>
  </si>
  <si>
    <t xml:space="preserve">Plus, packs and seasons at store prices with a small cosmetic bonus</t>
  </si>
  <si>
    <t xml:space="preserve">RevenueCat, payments</t>
  </si>
  <si>
    <t xml:space="preserve">06 Monetization, Section 7 (Phase 4); 04 Social lists LiveOps</t>
  </si>
  <si>
    <t xml:space="preserve">SOC-AI-001</t>
  </si>
  <si>
    <t xml:space="preserve">Optional AI Storyteller</t>
  </si>
  <si>
    <t xml:space="preserve">AI Storyteller opt-in toggle</t>
  </si>
  <si>
    <t xml:space="preserve">Off by default; explainer, style and cloud-consent settings</t>
  </si>
  <si>
    <t xml:space="preserve">No AI features</t>
  </si>
  <si>
    <t xml:space="preserve">04 Social, Section 13 (Priority and access table)</t>
  </si>
  <si>
    <t xml:space="preserve">SOC-AI-002</t>
  </si>
  <si>
    <t xml:space="preserve">On-device rewording (iOS first)</t>
  </si>
  <si>
    <t xml:space="preserve">Apple Foundation Models rewords event text only; never changes outcomes</t>
  </si>
  <si>
    <t xml:space="preserve">SOC-AI-003</t>
  </si>
  <si>
    <t xml:space="preserve">Android on-device rewording</t>
  </si>
  <si>
    <t xml:space="preserve">On-device models on Android where available</t>
  </si>
  <si>
    <t xml:space="preserve">SOC-AI-004</t>
  </si>
  <si>
    <t xml:space="preserve">Fact-locking validator and moderation</t>
  </si>
  <si>
    <t xml:space="preserve">Locked facts, no new entities, length limits, moderation, canned fallback within timeouts</t>
  </si>
  <si>
    <t xml:space="preserve">04 Social, Section 13 (priority inferred)</t>
  </si>
  <si>
    <t xml:space="preserve">SOC-AI-005</t>
  </si>
  <si>
    <t xml:space="preserve">AI marker, see original and report</t>
  </si>
  <si>
    <t xml:space="preserve">Every AI line marked, with original text and a report action</t>
  </si>
  <si>
    <t xml:space="preserve">SOC-AI</t>
  </si>
  <si>
    <t xml:space="preserve">SOC-AI-006</t>
  </si>
  <si>
    <t xml:space="preserve">Storyteller voice styles</t>
  </si>
  <si>
    <t xml:space="preserve">Classic, Warm, Dry wit, Dramatic, Simple English</t>
  </si>
  <si>
    <t xml:space="preserve">SOC-AI-007</t>
  </si>
  <si>
    <t xml:space="preserve">Plain-language rewording</t>
  </si>
  <si>
    <t xml:space="preserve">Simpler text for accessibility</t>
  </si>
  <si>
    <t xml:space="preserve">SOC-AI-008</t>
  </si>
  <si>
    <t xml:space="preserve">Cached reworded lines</t>
  </si>
  <si>
    <t xml:space="preserve">Cache per event, style and locale to cut cost and latency</t>
  </si>
  <si>
    <t xml:space="preserve">SOC-AI-009</t>
  </si>
  <si>
    <t xml:space="preserve">Cloud small-model fallback</t>
  </si>
  <si>
    <t xml:space="preserve">Server-proxied cloud fallback, recommended for Plus only with a per-user budget (~$0.27/user/month)</t>
  </si>
  <si>
    <t xml:space="preserve">04 Social, Section 13 (recommendation; client decision)</t>
  </si>
  <si>
    <t xml:space="preserve">SOC-AI-010</t>
  </si>
  <si>
    <t xml:space="preserve">NPC dialogue flavour</t>
  </si>
  <si>
    <t xml:space="preserve">Short NPC lines that reflect memories</t>
  </si>
  <si>
    <t xml:space="preserve">SOC-SE-001</t>
  </si>
  <si>
    <t xml:space="preserve">Settings, accessibility and safety</t>
  </si>
  <si>
    <t xml:space="preserve">Full VoiceOver/TalkBack support</t>
  </si>
  <si>
    <t xml:space="preserve">Labels, focus order, live announcements, rotor navigation on every control</t>
  </si>
  <si>
    <t xml:space="preserve">Accessibility broke after 2020</t>
  </si>
  <si>
    <t xml:space="preserve">04 Social, Section 14 (Priority and access table)</t>
  </si>
  <si>
    <t xml:space="preserve">SOC-SE-002</t>
  </si>
  <si>
    <t xml:space="preserve">Accessibility release gate</t>
  </si>
  <si>
    <t xml:space="preserve">CI label checks plus a 20-step manual screen-reader script on every build</t>
  </si>
  <si>
    <t xml:space="preserve">Repeated VoiceOver regressions</t>
  </si>
  <si>
    <t xml:space="preserve">04 Social, Section 14 rules (priority inferred)</t>
  </si>
  <si>
    <t xml:space="preserve">SOC-SE-003</t>
  </si>
  <si>
    <t xml:space="preserve">Dynamic type to 310% with reflow</t>
  </si>
  <si>
    <t xml:space="preserve">Large text with no truncation on core screens</t>
  </si>
  <si>
    <t xml:space="preserve">05 UX</t>
  </si>
  <si>
    <t xml:space="preserve">SOC-SE-004</t>
  </si>
  <si>
    <t xml:space="preserve">Colour-blind safe palettes and high contrast</t>
  </si>
  <si>
    <t xml:space="preserve">Never colour-only meaning; WCAG 2.2 AA-equivalent targets</t>
  </si>
  <si>
    <t xml:space="preserve">SOC-SE-005</t>
  </si>
  <si>
    <t xml:space="preserve">Reduce motion, no flashing, captions</t>
  </si>
  <si>
    <t xml:space="preserve">Respects system settings; audio optional with captions</t>
  </si>
  <si>
    <t xml:space="preserve">SOC-SE-006</t>
  </si>
  <si>
    <t xml:space="preserve">Mini-game auto-resolve and relaxed modes</t>
  </si>
  <si>
    <t xml:space="preserve">Every mini-game has auto-resolve (same odds) and a no-timer mode</t>
  </si>
  <si>
    <t xml:space="preserve">Players asked for a skip option</t>
  </si>
  <si>
    <t xml:space="preserve">CORE-CR, CORE-ED</t>
  </si>
  <si>
    <t xml:space="preserve">SOC-SE-007</t>
  </si>
  <si>
    <t xml:space="preserve">Large touch targets and thumb-zone layout</t>
  </si>
  <si>
    <t xml:space="preserve">44 pt / 48 dp targets, switch control and keyboard on tablets</t>
  </si>
  <si>
    <t xml:space="preserve">04 Social, Section 14 (priority inferred)</t>
  </si>
  <si>
    <t xml:space="preserve">SOC-SE-008</t>
  </si>
  <si>
    <t xml:space="preserve">Dark mode and themes (free)</t>
  </si>
  <si>
    <t xml:space="preserve">Light, Dark, OLED black, High contrast</t>
  </si>
  <si>
    <t xml:space="preserve">Dark mode was a paid VIP perk</t>
  </si>
  <si>
    <t xml:space="preserve">SOC-SE-009</t>
  </si>
  <si>
    <t xml:space="preserve">Core content filters</t>
  </si>
  <si>
    <t xml:space="preserve">Violence, drugs, romance, gambling: Show, Soften or Hide</t>
  </si>
  <si>
    <t xml:space="preserve">No content filters found</t>
  </si>
  <si>
    <t xml:space="preserve">Content tags</t>
  </si>
  <si>
    <t xml:space="preserve">SOC-SE-010</t>
  </si>
  <si>
    <t xml:space="preserve">All content filters</t>
  </si>
  <si>
    <t xml:space="preserve">Adds death and grief, self-harm, pregnancy loss, discrimination, profanity</t>
  </si>
  <si>
    <t xml:space="preserve">SOC-SE-011</t>
  </si>
  <si>
    <t xml:space="preserve">Age screen and age modes</t>
  </si>
  <si>
    <t xml:space="preserve">Under-13 blocked; 16-17 Standard defaults; unknown treated as 16-17</t>
  </si>
  <si>
    <t xml:space="preserve">Rated 17+, not directed to under-16s</t>
  </si>
  <si>
    <t xml:space="preserve">SOC-SE-012</t>
  </si>
  <si>
    <t xml:space="preserve">Age signals APIs</t>
  </si>
  <si>
    <t xml:space="preserve">Apple Declared Age Range and Google Play Age Signals in required regions</t>
  </si>
  <si>
    <t xml:space="preserve">SOC-SE-013</t>
  </si>
  <si>
    <t xml:space="preserve">Data export and account deletion</t>
  </si>
  <si>
    <t xml:space="preserve">In-app export (JSON, My Lives) and deletion with 14-day grace</t>
  </si>
  <si>
    <t xml:space="preserve">Firebase</t>
  </si>
  <si>
    <t xml:space="preserve">SOC-SE-014</t>
  </si>
  <si>
    <t xml:space="preserve">Privacy dashboard and consent</t>
  </si>
  <si>
    <t xml:space="preserve">What is collected, analytics and ad toggles, AI consent</t>
  </si>
  <si>
    <t xml:space="preserve">CMP</t>
  </si>
  <si>
    <t xml:space="preserve">SOC-SE-015</t>
  </si>
  <si>
    <t xml:space="preserve">Cloud save status and Sync now</t>
  </si>
  <si>
    <t xml:space="preserve">Last synced time and manual sync</t>
  </si>
  <si>
    <t xml:space="preserve">Save loss reported</t>
  </si>
  <si>
    <t xml:space="preserve">SOC-SE-016</t>
  </si>
  <si>
    <t xml:space="preserve">Plain-language mode and dyslexia font</t>
  </si>
  <si>
    <t xml:space="preserve">Simpler authored variants for key events; dyslexia-friendly font</t>
  </si>
  <si>
    <t xml:space="preserve">SOC-SE-017</t>
  </si>
  <si>
    <t xml:space="preserve">Parent guide and purchase approvals</t>
  </si>
  <si>
    <t xml:space="preserve">Parent guide page; Ask to Buy / Family Link for minors</t>
  </si>
  <si>
    <t xml:space="preserve">SOC-SE-018</t>
  </si>
  <si>
    <t xml:space="preserve">PIN lock on content filters</t>
  </si>
  <si>
    <t xml:space="preserve">Optional PIN for shared devices</t>
  </si>
  <si>
    <t xml:space="preserve">SOC-SE-019</t>
  </si>
  <si>
    <t xml:space="preserve">Support resources page</t>
  </si>
  <si>
    <t xml:space="preserve">Region-appropriate helplines linked from heavy storylines</t>
  </si>
  <si>
    <t xml:space="preserve">Summary: live counts from the Feature Matrix</t>
  </si>
  <si>
    <t xml:space="preserve">All numbers are COUNTIFS/SUM formulas over 'Feature Matrix' rows 2-1000, so they update when rows are added or edited.</t>
  </si>
  <si>
    <t xml:space="preserve">1. Features by Module x Priority</t>
  </si>
  <si>
    <t xml:space="preserve">Total</t>
  </si>
  <si>
    <t xml:space="preserve">Avg player value</t>
  </si>
  <si>
    <t xml:space="preserve">Paid (Plus/Pack/Season)</t>
  </si>
  <si>
    <t xml:space="preserve">Cross-check: matrix row count</t>
  </si>
  <si>
    <t xml:space="preserve">2. Features by Status vs BitLife</t>
  </si>
  <si>
    <t xml:space="preserve">Count</t>
  </si>
  <si>
    <t xml:space="preserve">Share</t>
  </si>
  <si>
    <t xml:space="preserve">3. Features by Access (x Priority)</t>
  </si>
  <si>
    <t xml:space="preserve">4. Fair-forever checks (pillar 3: all careers and core systems free)</t>
  </si>
  <si>
    <t xml:space="preserve">Check</t>
  </si>
  <si>
    <t xml:space="preserve">Result</t>
  </si>
  <si>
    <t xml:space="preserve">How it is calculated</t>
  </si>
  <si>
    <t xml:space="preserve">Career / core-system rows with Access = Plus or Pack</t>
  </si>
  <si>
    <t xml:space="preserve">Rows flagged 'Career / core system? = Yes' whose Access is Plus or Pack. Must be 0.</t>
  </si>
  <si>
    <t xml:space="preserve">Career / core-system rows with any paid or ad Access (Plus, Pack, Season, Ad)</t>
  </si>
  <si>
    <t xml:space="preserve">Stricter variant: every flagged row must be Free. Must be 0.</t>
  </si>
  <si>
    <t xml:space="preserve">Rows named '... career' in Careers and jobs that are not Free</t>
  </si>
  <si>
    <t xml:space="preserve">Independent of the flag: every individual career row must be Free. Must be 0.</t>
  </si>
  <si>
    <t xml:space="preserve">Rows named '... career' in Careers and jobs (count covered)</t>
  </si>
  <si>
    <t xml:space="preserve">Info</t>
  </si>
  <si>
    <t xml:space="preserve">Informational: how many career rows the check above covers.</t>
  </si>
  <si>
    <t xml:space="preserve">Overall fair-forever check</t>
  </si>
  <si>
    <t xml:space="preserve">Store Catalogue (from 06 Monetization and Economy, Section 2 and Section 4)</t>
  </si>
  <si>
    <t xml:space="preserve">Prices are US-dollar store tiers (estimates; regional pricing via store tiers). Blue = hardcoded input from note 06; black = formula.</t>
  </si>
  <si>
    <t xml:space="preserve">Product</t>
  </si>
  <si>
    <t xml:space="preserve">Price USD</t>
  </si>
  <si>
    <t xml:space="preserve">Contents</t>
  </si>
  <si>
    <t xml:space="preserve">Type</t>
  </si>
  <si>
    <t xml:space="preserve">Platform</t>
  </si>
  <si>
    <t xml:space="preserve">Access tag</t>
  </si>
  <si>
    <t xml:space="preserve">Notes</t>
  </si>
  <si>
    <t xml:space="preserve">P1</t>
  </si>
  <si>
    <t xml:space="preserve">Relivable Plus</t>
  </si>
  <si>
    <t xml:space="preserve">Removes all ads and auto-grants rewarded-ad perks. Up to 8 generations per dynasty (free tier: Generation 4, founder + 3 heirs; unlimited number of dynasties). Destiny Mode editor tools. Unlimited Rewind (free: 1 per life + 1 per day via rewarded ad). Extra save slots. Plus badge on the recap card.</t>
  </si>
  <si>
    <t xml:space="preserve">Non-consumable</t>
  </si>
  <si>
    <t xml:space="preserve">iOS, Android, web</t>
  </si>
  <si>
    <t xml:space="preserve">Save slots: 10 (free 3).</t>
  </si>
  <si>
    <t xml:space="preserve">P2</t>
  </si>
  <si>
    <t xml:space="preserve">No Ads</t>
  </si>
  <si>
    <t xml:space="preserve">Removes all ads and auto-grants ad perks. Nothing else.</t>
  </si>
  <si>
    <t xml:space="preserve">Entry-level supporter price; matches BitLife Remove Ads $2.99.</t>
  </si>
  <si>
    <t xml:space="preserve">P3</t>
  </si>
  <si>
    <t xml:space="preserve">Plus Upgrade (No-Ads owners only)</t>
  </si>
  <si>
    <t xml:space="preserve">Everything else in Plus. Total paid never exceeds Plus (see check below).</t>
  </si>
  <si>
    <t xml:space="preserve">P4a</t>
  </si>
  <si>
    <t xml:space="preserve">Story Pack (small)</t>
  </si>
  <si>
    <t xml:space="preserve">About 60 storylets: new storylines, characters, scenario starts and Milestones. Never a career, a system or a stat edge.</t>
  </si>
  <si>
    <t xml:space="preserve">Examples: Spotlight, Night Shift, Old Money, Frontier 1850, The Uncanny.</t>
  </si>
  <si>
    <t xml:space="preserve">P4b</t>
  </si>
  <si>
    <t xml:space="preserve">Story Pack (large)</t>
  </si>
  <si>
    <t xml:space="preserve">About 120 storylets + 1 new scenario start. Never a career, a system or a stat edge.</t>
  </si>
  <si>
    <t xml:space="preserve">Released about every 2 months.</t>
  </si>
  <si>
    <t xml:space="preserve">P5</t>
  </si>
  <si>
    <t xml:space="preserve">Season Pass</t>
  </si>
  <si>
    <t xml:space="preserve">Premium track: about 30 cosmetic rewards + 2 bonus story chapters. Free track for everyone: about 20 rewards + main season storyline. Items kept forever.</t>
  </si>
  <si>
    <t xml:space="preserve">Non-consumable per season (non-renewing)</t>
  </si>
  <si>
    <t xml:space="preserve">Season length: about 13 weeks.</t>
  </si>
  <si>
    <t xml:space="preserve">P6</t>
  </si>
  <si>
    <t xml:space="preserve">Welcome Pack</t>
  </si>
  <si>
    <t xml:space="preserve">Avatar outfit set (5), 3 recap card themes, family crest starter. Cosmetic only. Once per account.</t>
  </si>
  <si>
    <t xml:space="preserve">iOS, Android</t>
  </si>
  <si>
    <t xml:space="preserve">Offered after the first life ends (A/B test vs age 18 in life 1).</t>
  </si>
  <si>
    <t xml:space="preserve">P7a</t>
  </si>
  <si>
    <t xml:space="preserve">Cosmetic set (small)</t>
  </si>
  <si>
    <t xml:space="preserve">One themed set (outfits, décor or recap theme).</t>
  </si>
  <si>
    <t xml:space="preserve">Cosmetic sets range $0.99-1.99.</t>
  </si>
  <si>
    <t xml:space="preserve">P7b</t>
  </si>
  <si>
    <t xml:space="preserve">Cosmetic set (large)</t>
  </si>
  <si>
    <t xml:space="preserve">P8</t>
  </si>
  <si>
    <t xml:space="preserve">Founder's Bundle (60-day launch window)</t>
  </si>
  <si>
    <t xml:space="preserve">Plus + 2 large Story Packs + exclusive founder crest.</t>
  </si>
  <si>
    <t xml:space="preserve">Component value computed below.</t>
  </si>
  <si>
    <t xml:space="preserve">P9</t>
  </si>
  <si>
    <t xml:space="preserve">Complete Collection (evergreen)</t>
  </si>
  <si>
    <t xml:space="preserve">Plus + all currently released Story Packs (value shown in store).</t>
  </si>
  <si>
    <t xml:space="preserve">Non-consumable bundle</t>
  </si>
  <si>
    <t xml:space="preserve">Value grows with each released pack.</t>
  </si>
  <si>
    <t xml:space="preserve">A1</t>
  </si>
  <si>
    <t xml:space="preserve">Rewarded ad: Extra Rewind</t>
  </si>
  <si>
    <t xml:space="preserve">+1 Rewind (1 per day).</t>
  </si>
  <si>
    <t xml:space="preserve">Rewarded ad (opt-in)</t>
  </si>
  <si>
    <t xml:space="preserve">Resolved decision: 1 free Rewind per life + 1 per day via ad (note 06 placement table said 2 per life).</t>
  </si>
  <si>
    <t xml:space="preserve">A2</t>
  </si>
  <si>
    <t xml:space="preserve">Rewarded ad: Second opinion</t>
  </si>
  <si>
    <t xml:space="preserve">Reveal odds band and hidden factors of one risky choice.</t>
  </si>
  <si>
    <t xml:space="preserve">Cap 3/day. Information, not outcome manipulation.</t>
  </si>
  <si>
    <t xml:space="preserve">A3</t>
  </si>
  <si>
    <t xml:space="preserve">Rewarded ad: Lucky break</t>
  </si>
  <si>
    <t xml:space="preserve">Retry one failed non-death minor action.</t>
  </si>
  <si>
    <t xml:space="preserve">Cap 2/day. Never undoes a death.</t>
  </si>
  <si>
    <t xml:space="preserve">A4</t>
  </si>
  <si>
    <t xml:space="preserve">Rewarded ad: Sparks bonus</t>
  </si>
  <si>
    <t xml:space="preserve">+50 Sparks (earn-only soft currency).</t>
  </si>
  <si>
    <t xml:space="preserve">Cap 3/day.</t>
  </si>
  <si>
    <t xml:space="preserve">A5</t>
  </si>
  <si>
    <t xml:space="preserve">Rewarded ad: Season boost</t>
  </si>
  <si>
    <t xml:space="preserve">+1 tier of free Season track progress.</t>
  </si>
  <si>
    <t xml:space="preserve">Cap 1/day.</t>
  </si>
  <si>
    <t xml:space="preserve">A6</t>
  </si>
  <si>
    <t xml:space="preserve">Rewarded ad: Daily goal reroll</t>
  </si>
  <si>
    <t xml:space="preserve">Replace one daily goal.</t>
  </si>
  <si>
    <t xml:space="preserve">X</t>
  </si>
  <si>
    <t xml:space="preserve">Not sold</t>
  </si>
  <si>
    <t xml:space="preserve">Careers, life stages, dark mode, accessibility, per-use Rewind, event rerolls, stat boosts, premium currency, random rewards, subscriptions (at launch).</t>
  </si>
  <si>
    <t xml:space="preserve">-</t>
  </si>
  <si>
    <t xml:space="preserve">Sparks are earn-only and never sold. All ads: rewarded only, max 4 per session, 8 per day, 90 s cooldown.</t>
  </si>
  <si>
    <t xml:space="preserve">Price checks (formulas)</t>
  </si>
  <si>
    <t xml:space="preserve">Value USD</t>
  </si>
  <si>
    <t xml:space="preserve">Explanation</t>
  </si>
  <si>
    <t xml:space="preserve">No Ads + Plus Upgrade</t>
  </si>
  <si>
    <t xml:space="preserve">Total paid by a No-Ads owner who upgrades</t>
  </si>
  <si>
    <t xml:space="preserve">Plus price</t>
  </si>
  <si>
    <t xml:space="preserve">Reference</t>
  </si>
  <si>
    <t xml:space="preserve">Upgrade path never costs more than Plus</t>
  </si>
  <si>
    <t xml:space="preserve">Rule from note 06 P3</t>
  </si>
  <si>
    <t xml:space="preserve">Founder's Bundle component value</t>
  </si>
  <si>
    <t xml:space="preserve">Plus + 2 large Story Packs (note 06: $17.97)</t>
  </si>
  <si>
    <t xml:space="preserve">Founder's Bundle saving</t>
  </si>
  <si>
    <t xml:space="preserve">Component value minus bundle price</t>
  </si>
  <si>
    <t xml:space="preserve">Founder's Bundle saving %</t>
  </si>
  <si>
    <t xml:space="preserve">Share of component value</t>
  </si>
  <si>
    <t xml:space="preserve">Budget per phase (from 11 Roadmap Team and Budget, Section 4) - USD, excl. user acquisition</t>
  </si>
  <si>
    <t xml:space="preserve">Estimates, not quotes. Blue = hardcoded line items from note 11; black = SUM formulas. Low = hybrid/LatAm, High = Eastern Europe, US = US-team reference.</t>
  </si>
  <si>
    <t xml:space="preserve">Phase</t>
  </si>
  <si>
    <t xml:space="preserve">Line item</t>
  </si>
  <si>
    <t xml:space="preserve">Low (USD)</t>
  </si>
  <si>
    <t xml:space="preserve">High (USD)</t>
  </si>
  <si>
    <t xml:space="preserve">US ref (USD)</t>
  </si>
  <si>
    <t xml:space="preserve">US ref upper (USD)</t>
  </si>
  <si>
    <t xml:space="preserve">Phase 2 Prototype (8 wk, ~3.0 FTE, ~890 h)</t>
  </si>
  <si>
    <t xml:space="preserve">Labour (~890 h)</t>
  </si>
  <si>
    <t xml:space="preserve">Low hybrid ~$25/h; High EE $60/h; US $110/h</t>
  </si>
  <si>
    <t xml:space="preserve">Playtests (moderated + unmoderated)</t>
  </si>
  <si>
    <t xml:space="preserve">Tools/services (2 months)</t>
  </si>
  <si>
    <t xml:space="preserve">Test devices (3 low/mid Android + 1 iPhone)</t>
  </si>
  <si>
    <t xml:space="preserve">Trademark/name search (preliminary)</t>
  </si>
  <si>
    <t xml:space="preserve">Low case: paid by client</t>
  </si>
  <si>
    <t xml:space="preserve">Phase total</t>
  </si>
  <si>
    <t xml:space="preserve">Phase 3 MVP + soft-launch start (~5 mo, ~4.4 FTE, ~3,520 h)</t>
  </si>
  <si>
    <t xml:space="preserve">Labour (3,520 h)</t>
  </si>
  <si>
    <t xml:space="preserve">Mid (India $30/h) $105K and LatAm ($50/h) $175K scenarios in note 11 not shown</t>
  </si>
  <si>
    <t xml:space="preserve">Legal/privacy counsel (tranche 1)</t>
  </si>
  <si>
    <t xml:space="preserve">Privacy policy, ToS, DPIA, COPPA retention policy</t>
  </si>
  <si>
    <t xml:space="preserve">Sensitivity review (external reader)</t>
  </si>
  <si>
    <t xml:space="preserve">Art outsourcing (event cards, avatar layers)</t>
  </si>
  <si>
    <t xml:space="preserve">Tools/services (5 months)</t>
  </si>
  <si>
    <t xml:space="preserve">Playtests + devices</t>
  </si>
  <si>
    <t xml:space="preserve">Phase 4 Global launch (~4 mo, ~9-10.5 FTE)</t>
  </si>
  <si>
    <t xml:space="preserve">Labour</t>
  </si>
  <si>
    <t xml:space="preserve">Low LatAm $50/h x 5,760 h; High EE $60/h x 7,520 h; US $634K-827K</t>
  </si>
  <si>
    <t xml:space="preserve">Localisation (~1.2M words at $0.06-0.12/word)</t>
  </si>
  <si>
    <t xml:space="preserve">Per-word rates NOT researched (assumption)</t>
  </si>
  <si>
    <t xml:space="preserve">LQA + localised store assets</t>
  </si>
  <si>
    <t xml:space="preserve">External accessibility audit (WCAG 2.2 AA / EN 301 549)</t>
  </si>
  <si>
    <t xml:space="preserve">Legal tranche 2 (LGPD, EU consumer, web shop, rating)</t>
  </si>
  <si>
    <t xml:space="preserve">Trailer + key art + store creative</t>
  </si>
  <si>
    <t xml:space="preserve">Tools/services (4 months)</t>
  </si>
  <si>
    <t xml:space="preserve">QA device lab / Test Lab overage</t>
  </si>
  <si>
    <t xml:space="preserve">Contingency (~5%)</t>
  </si>
  <si>
    <t xml:space="preserve">No contingency line in the US reference</t>
  </si>
  <si>
    <t xml:space="preserve">Cumulative to global launch</t>
  </si>
  <si>
    <t xml:space="preserve">Phases 2 + 3 + 4</t>
  </si>
  <si>
    <t xml:space="preserve">Note 11: ~$505K / ~$1.03M / ~$1.43M-1.62M. Brief: ~$0.5-1.1M (EE/LatAm), $1.2-2M (US).</t>
  </si>
  <si>
    <t xml:space="preserve">Phase 5 LiveOps run rate (per month)</t>
  </si>
  <si>
    <t xml:space="preserve">Low (LatAm, 6 FTE)</t>
  </si>
  <si>
    <t xml:space="preserve">High (EE, 8 FTE)</t>
  </si>
  <si>
    <t xml:space="preserve">US ref (7 FTE)</t>
  </si>
  <si>
    <t xml:space="preserve">Phase 5 LiveOps (monthly)</t>
  </si>
  <si>
    <t xml:space="preserve">Labour (960-1,280 h)</t>
  </si>
  <si>
    <t xml:space="preserve">Services (Firebase, Crowdin, MMP, CI, ASO tool)</t>
  </si>
  <si>
    <t xml:space="preserve">Localisation of new content (~20-30K words/mo x 4)</t>
  </si>
  <si>
    <t xml:space="preserve">Monthly total (excl. UA, RevenueCat 1%, cloud AI)</t>
  </si>
  <si>
    <t xml:space="preserve">Phase 5 LiveOps</t>
  </si>
  <si>
    <t xml:space="preserve">Annualised (x12)</t>
  </si>
  <si>
    <t xml:space="preserve">Excluded: GTM/UA ~$46-103K soft launch and ~$225-715K first 90 days after launch (note 10, Section 10). RevenueCat 1% above $2.5K monthly tracked revenue; cloud AI ~$0.27 per opted-in user per month.</t>
  </si>
  <si>
    <t xml:space="preserve">Roadmap, milestones and team (from 11 Roadmap Team and Budget, Sections 1-3)</t>
  </si>
  <si>
    <t xml:space="preserve">Target dates are gated (see 12 Risks and KPIs, Section 3). A missed gate moves everything after it; fallback launch window Jan 2028.</t>
  </si>
  <si>
    <t xml:space="preserve">Start</t>
  </si>
  <si>
    <t xml:space="preserve">End</t>
  </si>
  <si>
    <t xml:space="preserve">Duration (weeks)</t>
  </si>
  <si>
    <t xml:space="preserve">Team (avg FTE)</t>
  </si>
  <si>
    <t xml:space="preserve">Gate / milestone</t>
  </si>
  <si>
    <t xml:space="preserve">Gate date</t>
  </si>
  <si>
    <t xml:space="preserve">Key deliverables</t>
  </si>
  <si>
    <t xml:space="preserve">Exit criteria</t>
  </si>
  <si>
    <t xml:space="preserve">1 Planning</t>
  </si>
  <si>
    <t xml:space="preserve">Founder</t>
  </si>
  <si>
    <t xml:space="preserve">Gate 1: client sign-off</t>
  </si>
  <si>
    <t xml:space="preserve">Research vault, app breakdowns, UX, monetisation, tech, compliance, GTM, budget, risks; pitch deck outline</t>
  </si>
  <si>
    <t xml:space="preserve">Scope, budget and stack approved; name clearance started</t>
  </si>
  <si>
    <t xml:space="preserve">2 Prototype</t>
  </si>
  <si>
    <t xml:space="preserve">3.0</t>
  </si>
  <si>
    <t xml:space="preserve">Gate 2: prototype</t>
  </si>
  <si>
    <t xml:space="preserve">Storylet engine + validator + sim bot v1; redesigned hub, command bar, event cards; birth-to-30 slice; 150 events with 15+ callback arcs; screen-reader spike; Flutter-vs-Unity decision</t>
  </si>
  <si>
    <t xml:space="preserve">Fun/clarity scores at target; tick &lt;= 50 ms; screen-reader pass; &gt;= 6 events/writer-day</t>
  </si>
  <si>
    <t xml:space="preserve">3 MVP + Soft launch</t>
  </si>
  <si>
    <t xml:space="preserve">4.4</t>
  </si>
  <si>
    <t xml:space="preserve">Gate 3: MVP to soft launch</t>
  </si>
  <si>
    <t xml:space="preserve">Full life cycle, core careers, 1,500+ events, cloud save, RevenueCat (Plus + 1 pack), capped rewarded ads, analytics, compliance build, Life Recap v1, weekly challenge v1; soft launch W1 Philippines from 17 May 2027</t>
  </si>
  <si>
    <t xml:space="preserve">Crash-free &gt;= 99.5% in beta; FTUE &gt;= 85%; Phase 3 compliance items done</t>
  </si>
  <si>
    <t xml:space="preserve">4 Global launch</t>
  </si>
  <si>
    <t xml:space="preserve">9.0-10.5</t>
  </si>
  <si>
    <t xml:space="preserve">Gate 4: go/no-go (30 Aug 2027); Global launch</t>
  </si>
  <si>
    <t xml:space="preserve">Soft launch W2/W3 (IE, NL, CA); parity + 'better' features; 3,000+ events; 5 languages; Season Pass v1; optional US web shop; external a11y audit; localised ASO</t>
  </si>
  <si>
    <t xml:space="preserve">Soft-launch KPI gates met; audit pass; rating confirmed</t>
  </si>
  <si>
    <t xml:space="preserve">5 LiveOps</t>
  </si>
  <si>
    <t xml:space="preserve">6-8</t>
  </si>
  <si>
    <t xml:space="preserve">Gate 5: launch + 90 days (Jan 2028); quarterly reviews</t>
  </si>
  <si>
    <t xml:space="preserve">Weekly challenges (52/yr), monthly events, quarterly Story Pack, seasons, era mode, async social, Creator Mode beta, optional AI NPC chat</t>
  </si>
  <si>
    <t xml:space="preserve">Ongoing; end date is the last task in the note 11 Gantt chart (30 Jun 2028). Retention and monetisation KPIs; content cadence held 3 months</t>
  </si>
  <si>
    <t xml:space="preserve">Schedule check</t>
  </si>
  <si>
    <t xml:space="preserve">Months from Phase 2 start to global launch</t>
  </si>
  <si>
    <t xml:space="preserve">Inside brief window of 9-14 months?</t>
  </si>
  <si>
    <t xml:space="preserve">Gantt tasks (note 11, Section 1)</t>
  </si>
  <si>
    <t xml:space="preserve">Task</t>
  </si>
  <si>
    <t xml:space="preserve">Days</t>
  </si>
  <si>
    <t xml:space="preserve">Critical path?</t>
  </si>
  <si>
    <t xml:space="preserve">Research + vault + pitch</t>
  </si>
  <si>
    <t xml:space="preserve">Client sign-off (Gate 1)</t>
  </si>
  <si>
    <t xml:space="preserve">Milestone</t>
  </si>
  <si>
    <t xml:space="preserve">Tech spikes (a11y, engine, IAP)</t>
  </si>
  <si>
    <t xml:space="preserve">Vertical slice birth to 30</t>
  </si>
  <si>
    <t xml:space="preserve">150 events + sim bot v1</t>
  </si>
  <si>
    <t xml:space="preserve">Playtests + Gate 2</t>
  </si>
  <si>
    <t xml:space="preserve">Gate 2 Prototype</t>
  </si>
  <si>
    <t xml:space="preserve">Full life cycle + core careers</t>
  </si>
  <si>
    <t xml:space="preserve">Monetization + analytics + saves</t>
  </si>
  <si>
    <t xml:space="preserve">Content to 1,500 events</t>
  </si>
  <si>
    <t xml:space="preserve">Compliance build (age, privacy)</t>
  </si>
  <si>
    <t xml:space="preserve">Beta (Discord, TestFlight, Play)</t>
  </si>
  <si>
    <t xml:space="preserve">Gate 3 MVP</t>
  </si>
  <si>
    <t xml:space="preserve">Soft launch W1 Philippines</t>
  </si>
  <si>
    <t xml:space="preserve">Soft launch W2/W3 (IE, NL, CA)</t>
  </si>
  <si>
    <t xml:space="preserve">Parity + better features</t>
  </si>
  <si>
    <t xml:space="preserve">Content to 3,000+ events</t>
  </si>
  <si>
    <t xml:space="preserve">Localisation ES, PT-BR, DE, FR</t>
  </si>
  <si>
    <t xml:space="preserve">Accessibility audit + fixes</t>
  </si>
  <si>
    <t xml:space="preserve">Gate 4 Go/No-go</t>
  </si>
  <si>
    <t xml:space="preserve">Global launch</t>
  </si>
  <si>
    <t xml:space="preserve">Weekly challenges + seasons</t>
  </si>
  <si>
    <t xml:space="preserve">Story Packs (quarterly)</t>
  </si>
  <si>
    <t xml:space="preserve">Async social</t>
  </si>
  <si>
    <t xml:space="preserve">Creator Mode (UGC) beta</t>
  </si>
  <si>
    <t xml:space="preserve">Team composition, FTE per phase (note 11, Section 3)</t>
  </si>
  <si>
    <t xml:space="preserve">Role</t>
  </si>
  <si>
    <t xml:space="preserve">P2 Prototype</t>
  </si>
  <si>
    <t xml:space="preserve">P3 MVP</t>
  </si>
  <si>
    <t xml:space="preserve">P4 Launch</t>
  </si>
  <si>
    <t xml:space="preserve">P5 LiveOps (low)</t>
  </si>
  <si>
    <t xml:space="preserve">P5 LiveOps (high)</t>
  </si>
  <si>
    <t xml:space="preserve">Tech lead / engine engineer (Flutter + Dart)</t>
  </si>
  <si>
    <t xml:space="preserve">Owns storylet engine, sim bot, architecture</t>
  </si>
  <si>
    <t xml:space="preserve">Flutter / UI engineer</t>
  </si>
  <si>
    <t xml:space="preserve">Hub, a11y, monetisation UI</t>
  </si>
  <si>
    <t xml:space="preserve">Backend / tools / LiveOps engineer</t>
  </si>
  <si>
    <t xml:space="preserve">P3: covered by the roles above</t>
  </si>
  <si>
    <t xml:space="preserve">Narrative lead / game designer</t>
  </si>
  <si>
    <t xml:space="preserve">Systems design, voice, review of all events</t>
  </si>
  <si>
    <t xml:space="preserve">Writers (contract)</t>
  </si>
  <si>
    <t xml:space="preserve">The critical path</t>
  </si>
  <si>
    <t xml:space="preserve">UX/UI designer + 2D artist</t>
  </si>
  <si>
    <t xml:space="preserve">QA + accessibility tester</t>
  </si>
  <si>
    <t xml:space="preserve">P2: playtest vendor</t>
  </si>
  <si>
    <t xml:space="preserve">Producer / PM</t>
  </si>
  <si>
    <t xml:space="preserve">P2: founder (uncosted)</t>
  </si>
  <si>
    <t xml:space="preserve">Localisation manager</t>
  </si>
  <si>
    <t xml:space="preserve">Community manager</t>
  </si>
  <si>
    <t xml:space="preserve">P2: founder</t>
  </si>
  <si>
    <t xml:space="preserve">UA / marketing lead</t>
  </si>
  <si>
    <t xml:space="preserve">Can be an agency</t>
  </si>
  <si>
    <t xml:space="preserve">Data analyst</t>
  </si>
  <si>
    <t xml:space="preserve">P4: 0.25 contract, outside the costed total</t>
  </si>
  <si>
    <t xml:space="preserve">Total FTE (sum of roles)</t>
  </si>
  <si>
    <t xml:space="preserve">Note 11 headline: ~3.0 / ~4.4 / ~9.0-10.5 / ~6-8. The P5 role-level ranges sum above the 6-8 headline (budget is costed at 6-8 FTE).</t>
  </si>
  <si>
    <t xml:space="preserve">KPIs (from 12 Risks and KPIs, Section 2)</t>
  </si>
  <si>
    <t xml:space="preserve">Targets are hypotheses calibrated against public benchmarks, to be re-based on prototype and soft-launch data. They are not forecasts.</t>
  </si>
  <si>
    <t xml:space="preserve">Category</t>
  </si>
  <si>
    <t xml:space="preserve">KPI</t>
  </si>
  <si>
    <t xml:space="preserve">Definition</t>
  </si>
  <si>
    <t xml:space="preserve">Target</t>
  </si>
  <si>
    <t xml:space="preserve">Benchmark</t>
  </si>
  <si>
    <t xml:space="preserve">Source</t>
  </si>
  <si>
    <t xml:space="preserve">KPI-NS-01</t>
  </si>
  <si>
    <t xml:space="preserve">North Star</t>
  </si>
  <si>
    <t xml:space="preserve">Weekly Story Players (WSP)</t>
  </si>
  <si>
    <t xml:space="preserve">Unique users who age a character &gt;= 10 in-game years in a calendar week</t>
  </si>
  <si>
    <t xml:space="preserve">WSP/MAU &gt;= 45% (launch + 90 days); absolute target set after soft launch</t>
  </si>
  <si>
    <t xml:space="preserve">None (Relivable-specific)</t>
  </si>
  <si>
    <t xml:space="preserve">12 Risks and KPIs, 2.1</t>
  </si>
  <si>
    <t xml:space="preserve">KPI-NS-02</t>
  </si>
  <si>
    <t xml:space="preserve">Callback-experienced rate</t>
  </si>
  <si>
    <t xml:space="preserve">% of completed lives in which &gt;= 3 memory callbacks fired</t>
  </si>
  <si>
    <t xml:space="preserve">&gt;= 80%</t>
  </si>
  <si>
    <t xml:space="preserve">None (measures pillar 1)</t>
  </si>
  <si>
    <t xml:space="preserve">KPI-AQ-01</t>
  </si>
  <si>
    <t xml:space="preserve">Acquisition</t>
  </si>
  <si>
    <t xml:space="preserve">Store page conversion</t>
  </si>
  <si>
    <t xml:space="preserve">Store page views that become installs</t>
  </si>
  <si>
    <t xml:space="preserve">&gt;= 30% iOS / &gt;= 25% Play</t>
  </si>
  <si>
    <t xml:space="preserve">Estimate; first 3 screenshots drive it (AppTweak)</t>
  </si>
  <si>
    <t xml:space="preserve">12 Risks and KPIs, 2.2</t>
  </si>
  <si>
    <t xml:space="preserve">KPI-AQ-02</t>
  </si>
  <si>
    <t xml:space="preserve">Organic share of installs</t>
  </si>
  <si>
    <t xml:space="preserve">Organic installs / all installs, launch + 90 days</t>
  </si>
  <si>
    <t xml:space="preserve">&gt;= 50%</t>
  </si>
  <si>
    <t xml:space="preserve">Organic-first strategy</t>
  </si>
  <si>
    <t xml:space="preserve">KPI-AQ-03</t>
  </si>
  <si>
    <t xml:space="preserve">Blended CPI</t>
  </si>
  <si>
    <t xml:space="preserve">Paid UA spend / paid installs</t>
  </si>
  <si>
    <t xml:space="preserve">&lt;= $2.50 US iOS / &lt;= $1.20 Android</t>
  </si>
  <si>
    <t xml:space="preserve">NA casual about $3 / $2 (Segwise)</t>
  </si>
  <si>
    <t xml:space="preserve">KPI-AQ-04</t>
  </si>
  <si>
    <t xml:space="preserve">IPM (top creative)</t>
  </si>
  <si>
    <t xml:space="preserve">Installs per 1,000 ad impressions for the best creative</t>
  </si>
  <si>
    <t xml:space="preserve">&gt;= 2x account median; UGC creatives tested weekly</t>
  </si>
  <si>
    <t xml:space="preserve">UGC +152% IPM (Liftoff 2025)</t>
  </si>
  <si>
    <t xml:space="preserve">KPI-AQ-05</t>
  </si>
  <si>
    <t xml:space="preserve">Pre-registrations by launch</t>
  </si>
  <si>
    <t xml:space="preserve">Store pre-registrations before global launch</t>
  </si>
  <si>
    <t xml:space="preserve">50-150K (low confidence)</t>
  </si>
  <si>
    <t xml:space="preserve">No conversion data found (gap)</t>
  </si>
  <si>
    <t xml:space="preserve">KPI-AQ-06</t>
  </si>
  <si>
    <t xml:space="preserve">Recap share rate</t>
  </si>
  <si>
    <t xml:space="preserve">Share of finished lives whose Life Recap is shared</t>
  </si>
  <si>
    <t xml:space="preserve">&gt;= 8%</t>
  </si>
  <si>
    <t xml:space="preserve">Spotify Wrapped precedent (RouteNote)</t>
  </si>
  <si>
    <t xml:space="preserve">KPI-AQ-07</t>
  </si>
  <si>
    <t xml:space="preserve">Seed open to install</t>
  </si>
  <si>
    <t xml:space="preserve">Share of shared-seed link opens that become installs</t>
  </si>
  <si>
    <t xml:space="preserve">&gt;= 15%</t>
  </si>
  <si>
    <t xml:space="preserve">KPI-AQ-08</t>
  </si>
  <si>
    <t xml:space="preserve">K-factor</t>
  </si>
  <si>
    <t xml:space="preserve">New users generated per existing user through sharing</t>
  </si>
  <si>
    <t xml:space="preserve">0.15-0.30</t>
  </si>
  <si>
    <t xml:space="preserve">KPI-EN-01</t>
  </si>
  <si>
    <t xml:space="preserve">Engagement</t>
  </si>
  <si>
    <t xml:space="preserve">Sessions per DAU</t>
  </si>
  <si>
    <t xml:space="preserve">Sessions / daily active users</t>
  </si>
  <si>
    <t xml:space="preserve">&gt;= 2.5</t>
  </si>
  <si>
    <t xml:space="preserve">Estimate</t>
  </si>
  <si>
    <t xml:space="preserve">12 Risks and KPIs, 2.3</t>
  </si>
  <si>
    <t xml:space="preserve">KPI-EN-02</t>
  </si>
  <si>
    <t xml:space="preserve">Average session length</t>
  </si>
  <si>
    <t xml:space="preserve">Mean minutes per session</t>
  </si>
  <si>
    <t xml:space="preserve">8-14 min</t>
  </si>
  <si>
    <t xml:space="preserve">Estimate; no life-sim session data found (gap)</t>
  </si>
  <si>
    <t xml:space="preserve">KPI-EN-03</t>
  </si>
  <si>
    <t xml:space="preserve">In-game years aged per session</t>
  </si>
  <si>
    <t xml:space="preserve">Mean years advanced per session</t>
  </si>
  <si>
    <t xml:space="preserve">&gt;= 12</t>
  </si>
  <si>
    <t xml:space="preserve">Core-loop velocity</t>
  </si>
  <si>
    <t xml:space="preserve">KPI-EN-04</t>
  </si>
  <si>
    <t xml:space="preserve">FTUE completion</t>
  </si>
  <si>
    <t xml:space="preserve">Share of new users reaching FTUE step 8</t>
  </si>
  <si>
    <t xml:space="preserve">&gt;= 85%; first wild event in &lt; 60 s</t>
  </si>
  <si>
    <t xml:space="preserve">Playio onboarding guidance</t>
  </si>
  <si>
    <t xml:space="preserve">KPI-EN-05</t>
  </si>
  <si>
    <t xml:space="preserve">Lives completed per WAU</t>
  </si>
  <si>
    <t xml:space="preserve">Finished lives per weekly active user per week</t>
  </si>
  <si>
    <t xml:space="preserve">&gt;= 1.2</t>
  </si>
  <si>
    <t xml:space="preserve">Meta loop</t>
  </si>
  <si>
    <t xml:space="preserve">KPI-EN-06</t>
  </si>
  <si>
    <t xml:space="preserve">Generation continue rate</t>
  </si>
  <si>
    <t xml:space="preserve">Share of deaths followed by continuing as an heir</t>
  </si>
  <si>
    <t xml:space="preserve">&gt;= 40%</t>
  </si>
  <si>
    <t xml:space="preserve">Dynasty pillar</t>
  </si>
  <si>
    <t xml:space="preserve">KPI-EN-07</t>
  </si>
  <si>
    <t xml:space="preserve">Weekly challenge participation</t>
  </si>
  <si>
    <t xml:space="preserve">Share of WAU who start the weekly challenge</t>
  </si>
  <si>
    <t xml:space="preserve">&gt;= 25% of WAU</t>
  </si>
  <si>
    <t xml:space="preserve">KPI-EN-08</t>
  </si>
  <si>
    <t xml:space="preserve">Command bar / card usage</t>
  </si>
  <si>
    <t xml:space="preserve">Share of actions started from the command bar or contextual cards</t>
  </si>
  <si>
    <t xml:space="preserve">&gt;= 30% of actions</t>
  </si>
  <si>
    <t xml:space="preserve">Pillar 2</t>
  </si>
  <si>
    <t xml:space="preserve">KPI-EN-09</t>
  </si>
  <si>
    <t xml:space="preserve">Zero-result searches</t>
  </si>
  <si>
    <t xml:space="preserve">Share of searches that return no result</t>
  </si>
  <si>
    <t xml:space="preserve">&lt; 5%</t>
  </si>
  <si>
    <t xml:space="preserve">KPI-EN-10</t>
  </si>
  <si>
    <t xml:space="preserve">Event repeat rate within a life</t>
  </si>
  <si>
    <t xml:space="preserve">Share of storylets shown more than once in a life</t>
  </si>
  <si>
    <t xml:space="preserve">Risk R3</t>
  </si>
  <si>
    <t xml:space="preserve">KPI-RT-01</t>
  </si>
  <si>
    <t xml:space="preserve">Retention</t>
  </si>
  <si>
    <t xml:space="preserve">D1 retention</t>
  </si>
  <si>
    <t xml:space="preserve">Share of an install cohort active on day 1</t>
  </si>
  <si>
    <t xml:space="preserve">38% soft launch -&gt; 40% launch</t>
  </si>
  <si>
    <t xml:space="preserve">Median ~22%; top 10% ~40% (GameAnalytics 2026)</t>
  </si>
  <si>
    <t xml:space="preserve">12 Risks and KPIs, 2.4</t>
  </si>
  <si>
    <t xml:space="preserve">KPI-RT-02</t>
  </si>
  <si>
    <t xml:space="preserve">D7 retention</t>
  </si>
  <si>
    <t xml:space="preserve">Share of an install cohort active on day 7</t>
  </si>
  <si>
    <t xml:space="preserve">11% -&gt; 13%</t>
  </si>
  <si>
    <t xml:space="preserve">Median &lt; 4%; top 10% 11-12% (GameAnalytics 2026)</t>
  </si>
  <si>
    <t xml:space="preserve">KPI-RT-03</t>
  </si>
  <si>
    <t xml:space="preserve">D30 retention</t>
  </si>
  <si>
    <t xml:space="preserve">Share of an install cohort active on day 30</t>
  </si>
  <si>
    <t xml:space="preserve">4% -&gt; 5%</t>
  </si>
  <si>
    <t xml:space="preserve">Median 0.69-0.79%; top 10% ~4% (GameAnalytics 2026)</t>
  </si>
  <si>
    <t xml:space="preserve">KPI-RT-04</t>
  </si>
  <si>
    <t xml:space="preserve">D90 retention</t>
  </si>
  <si>
    <t xml:space="preserve">Share of an install cohort active on day 90</t>
  </si>
  <si>
    <t xml:space="preserve">&gt;= 2%</t>
  </si>
  <si>
    <t xml:space="preserve">No benchmark given</t>
  </si>
  <si>
    <t xml:space="preserve">KPI-RT-05</t>
  </si>
  <si>
    <t xml:space="preserve">Push opt-in</t>
  </si>
  <si>
    <t xml:space="preserve">Share accepting push when prompted after the first life</t>
  </si>
  <si>
    <t xml:space="preserve">iOS &gt;= 50%, Android &gt;= 80%</t>
  </si>
  <si>
    <t xml:space="preserve">iOS ~51%, Android ~81% (Pushwoosh)</t>
  </si>
  <si>
    <t xml:space="preserve">KPI-MN-01</t>
  </si>
  <si>
    <t xml:space="preserve">Monetization</t>
  </si>
  <si>
    <t xml:space="preserve">ARPDAU (IAP + ads, Tier-1)</t>
  </si>
  <si>
    <t xml:space="preserve">Daily revenue / DAU</t>
  </si>
  <si>
    <t xml:space="preserve">$0.15-0.40 (base $0.25)</t>
  </si>
  <si>
    <t xml:space="preserve">Hybrid-casual $0.15-0.50 (Juego Studio, vendor); note 06 base case $0.066</t>
  </si>
  <si>
    <t xml:space="preserve">12 Risks and KPIs, 2.5; 06 Monetization 6.3</t>
  </si>
  <si>
    <t xml:space="preserve">KPI-MN-02</t>
  </si>
  <si>
    <t xml:space="preserve">Payer conversion (D30)</t>
  </si>
  <si>
    <t xml:space="preserve">Share of a cohort that has paid by day 30</t>
  </si>
  <si>
    <t xml:space="preserve">2.5-4%</t>
  </si>
  <si>
    <t xml:space="preserve">~2-3.5% (PocketGamer.biz/AppsFlyer)</t>
  </si>
  <si>
    <t xml:space="preserve">12 Risks and KPIs, 2.5</t>
  </si>
  <si>
    <t xml:space="preserve">KPI-MN-03</t>
  </si>
  <si>
    <t xml:space="preserve">Relivable Plus attach</t>
  </si>
  <si>
    <t xml:space="preserve">Share of payers who own Plus</t>
  </si>
  <si>
    <t xml:space="preserve">&gt;= 60%</t>
  </si>
  <si>
    <t xml:space="preserve">Design intent (note 06)</t>
  </si>
  <si>
    <t xml:space="preserve">KPI-MN-04</t>
  </si>
  <si>
    <t xml:space="preserve">ARPPU (D90)</t>
  </si>
  <si>
    <t xml:space="preserve">Revenue per paying user by day 90</t>
  </si>
  <si>
    <t xml:space="preserve">$9-14</t>
  </si>
  <si>
    <t xml:space="preserve">Casual D90 ARPPU $7.26 (gamedevreports)</t>
  </si>
  <si>
    <t xml:space="preserve">KPI-MN-05</t>
  </si>
  <si>
    <t xml:space="preserve">Rewarded ad opt-in</t>
  </si>
  <si>
    <t xml:space="preserve">Share of non-payer DAU who watch &gt;= 1 rewarded ad</t>
  </si>
  <si>
    <t xml:space="preserve">30-45%, within the cap (4/session, 8/day)</t>
  </si>
  <si>
    <t xml:space="preserve">76% prefer opt-in ads (Tapjoy 2017, vendor survey)</t>
  </si>
  <si>
    <t xml:space="preserve">12 Risks and KPIs, 2.5; resolved ad caps</t>
  </si>
  <si>
    <t xml:space="preserve">KPI-MN-06</t>
  </si>
  <si>
    <t xml:space="preserve">Rewarded eCPM (US)</t>
  </si>
  <si>
    <t xml:space="preserve">Ad revenue per 1,000 rewarded views</t>
  </si>
  <si>
    <t xml:space="preserve">Planning value $12-20</t>
  </si>
  <si>
    <t xml:space="preserve">US iOS $19.63 / Android $16.49, Q4 2024 (Appodeal)</t>
  </si>
  <si>
    <t xml:space="preserve">KPI-MN-07</t>
  </si>
  <si>
    <t xml:space="preserve">IAP share of revenue (US)</t>
  </si>
  <si>
    <t xml:space="preserve">IAP revenue / total revenue</t>
  </si>
  <si>
    <t xml:space="preserve">Planning value 70-85%</t>
  </si>
  <si>
    <t xml:space="preserve">Tier-1 IAP 77-90% (Sensor Tower)</t>
  </si>
  <si>
    <t xml:space="preserve">KPI-MN-08</t>
  </si>
  <si>
    <t xml:space="preserve">ROAS D7 / D30 / payback</t>
  </si>
  <si>
    <t xml:space="preserve">Cohort revenue / UA spend at day 7 and 30; payback day</t>
  </si>
  <si>
    <t xml:space="preserve">20-35% / 50-70% / D90-D180</t>
  </si>
  <si>
    <t xml:space="preserve">Casual iOS D30 ROAS 47% (Liftoff)</t>
  </si>
  <si>
    <t xml:space="preserve">KPI-MN-09</t>
  </si>
  <si>
    <t xml:space="preserve">LTV (D180) vs CPI</t>
  </si>
  <si>
    <t xml:space="preserve">Projected D180 LTV / blended CPI in a geo</t>
  </si>
  <si>
    <t xml:space="preserve">&gt;= 1.2x before scaling UA</t>
  </si>
  <si>
    <t xml:space="preserve">Game Developer LTV methods</t>
  </si>
  <si>
    <t xml:space="preserve">KPI-MN-10</t>
  </si>
  <si>
    <t xml:space="preserve">Refund rate</t>
  </si>
  <si>
    <t xml:space="preserve">Refunded transactions / all transactions</t>
  </si>
  <si>
    <t xml:space="preserve">&lt; 2%</t>
  </si>
  <si>
    <t xml:space="preserve">KPI-QT-01</t>
  </si>
  <si>
    <t xml:space="preserve">Quality and trust</t>
  </si>
  <si>
    <t xml:space="preserve">Crash-free users</t>
  </si>
  <si>
    <t xml:space="preserve">Share of users with no crash in the period</t>
  </si>
  <si>
    <t xml:space="preserve">&gt;= 99.5% (release blocker &lt; 99.0%)</t>
  </si>
  <si>
    <t xml:space="preserve">12 Risks and KPIs, 2.6</t>
  </si>
  <si>
    <t xml:space="preserve">KPI-QT-02</t>
  </si>
  <si>
    <t xml:space="preserve">ANR rate (Android)</t>
  </si>
  <si>
    <t xml:space="preserve">Share of sessions with an app-not-responding event</t>
  </si>
  <si>
    <t xml:space="preserve">&lt; 0.47% (verify current Play threshold)</t>
  </si>
  <si>
    <t xml:space="preserve">Google Play vitals</t>
  </si>
  <si>
    <t xml:space="preserve">KPI-QT-03</t>
  </si>
  <si>
    <t xml:space="preserve">Cold start p90</t>
  </si>
  <si>
    <t xml:space="preserve">90th-percentile cold-start time</t>
  </si>
  <si>
    <t xml:space="preserve">&lt;= 2.5 s</t>
  </si>
  <si>
    <t xml:space="preserve">08 Technical Architecture, Section 8</t>
  </si>
  <si>
    <t xml:space="preserve">KPI-QT-04</t>
  </si>
  <si>
    <t xml:space="preserve">Store rating</t>
  </si>
  <si>
    <t xml:space="preserve">Average store star rating</t>
  </si>
  <si>
    <t xml:space="preserve">&gt;= 4.5 stars</t>
  </si>
  <si>
    <t xml:space="preserve">BitLife Play ~4.4 stars from ~1.3M reviews</t>
  </si>
  <si>
    <t xml:space="preserve">KPI-QT-05</t>
  </si>
  <si>
    <t xml:space="preserve">Purchase restore success</t>
  </si>
  <si>
    <t xml:space="preserve">Successful restores / restore attempts</t>
  </si>
  <si>
    <t xml:space="preserve">&gt;= 99.9%</t>
  </si>
  <si>
    <t xml:space="preserve">KPI-QT-06</t>
  </si>
  <si>
    <t xml:space="preserve">Save-loss incidents</t>
  </si>
  <si>
    <t xml:space="preserve">Confirmed save-loss reports per release</t>
  </si>
  <si>
    <t xml:space="preserve">0</t>
  </si>
  <si>
    <t xml:space="preserve">Top BitLife complaint</t>
  </si>
  <si>
    <t xml:space="preserve">KPI-QT-07</t>
  </si>
  <si>
    <t xml:space="preserve">Accessibility P0/P1 bugs in release</t>
  </si>
  <si>
    <t xml:space="preserve">Open P0 / P1 accessibility bugs at release</t>
  </si>
  <si>
    <t xml:space="preserve">0 / &lt;= 2</t>
  </si>
  <si>
    <t xml:space="preserve">BitLife a11y regressions (AppleVis)</t>
  </si>
  <si>
    <t xml:space="preserve">KPI-QT-08</t>
  </si>
  <si>
    <t xml:space="preserve">Screen-reader user retention (D7)</t>
  </si>
  <si>
    <t xml:space="preserve">D7 retention of screen-reader users vs overall</t>
  </si>
  <si>
    <t xml:space="preserve">Within 2 pp of overall D7</t>
  </si>
  <si>
    <t xml:space="preserve">KPI-QT-09</t>
  </si>
  <si>
    <t xml:space="preserve">AI report rate</t>
  </si>
  <si>
    <t xml:space="preserve">Reports / AI-reworded lines shown (if enabled)</t>
  </si>
  <si>
    <t xml:space="preserve">&lt; 0.1%; 100% triaged within 48 h</t>
  </si>
  <si>
    <t xml:space="preserve">KPI-QT-10</t>
  </si>
  <si>
    <t xml:space="preserve">Support first response</t>
  </si>
  <si>
    <t xml:space="preserve">Time to first support response</t>
  </si>
  <si>
    <t xml:space="preserve">&lt; 24 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</si>
</sst>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"/>
    <numFmt numFmtId="167" formatCode="0.0%"/>
    <numFmt numFmtId="168" formatCode="\$#,##0.00;&quot;($&quot;#,##0.00\);\-"/>
    <numFmt numFmtId="169" formatCode="\$#,##0.00"/>
    <numFmt numFmtId="170" formatCode="\$#,##0;&quot;($&quot;#,##0\);\-"/>
    <numFmt numFmtId="171" formatCode="yyyy\-mm\-dd"/>
    <numFmt numFmtId="172" formatCode="0.00;\-0.00;\-"/>
    <numFmt numFmtId="173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E4DFE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E4DFEC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BDD7EE"/>
        </patternFill>
      </fill>
    </dxf>
    <dxf>
      <font>
        <name val="Arial"/>
        <charset val="1"/>
        <family val="0"/>
        <b val="1"/>
      </font>
      <fill>
        <patternFill>
          <bgColor rgb="FFFCE4D6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B4C6E7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4DFEC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B4C6E7"/>
      <rgbColor rgb="FFFFC7CE"/>
      <rgbColor rgb="FFD9D9D9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23.85" hidden="false" customHeight="false" outlineLevel="0" collapsed="false">
      <c r="A4" s="2" t="s">
        <v>5</v>
      </c>
      <c r="B4" s="3" t="s">
        <v>6</v>
      </c>
    </row>
    <row r="5" customFormat="false" ht="23.8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4" t="s">
        <v>9</v>
      </c>
      <c r="B7" s="5"/>
    </row>
    <row r="8" customFormat="false" ht="23.8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 t="s">
        <v>20</v>
      </c>
      <c r="B13" s="3" t="s">
        <v>21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4" t="s">
        <v>22</v>
      </c>
      <c r="B15" s="5"/>
    </row>
    <row r="16" customFormat="false" ht="57.4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15" hidden="false" customHeight="false" outlineLevel="0" collapsed="false">
      <c r="A18" s="2" t="s">
        <v>27</v>
      </c>
      <c r="B18" s="3" t="s">
        <v>28</v>
      </c>
    </row>
    <row r="19" customFormat="false" ht="15" hidden="false" customHeight="false" outlineLevel="0" collapsed="false">
      <c r="A19" s="2" t="s">
        <v>29</v>
      </c>
      <c r="B19" s="3" t="s">
        <v>30</v>
      </c>
    </row>
    <row r="20" customFormat="false" ht="23.85" hidden="false" customHeight="false" outlineLevel="0" collapsed="false">
      <c r="A20" s="2" t="s">
        <v>31</v>
      </c>
      <c r="B20" s="3" t="s">
        <v>32</v>
      </c>
    </row>
    <row r="21" customFormat="false" ht="23.85" hidden="false" customHeight="false" outlineLevel="0" collapsed="false">
      <c r="A21" s="2" t="s">
        <v>33</v>
      </c>
      <c r="B21" s="3" t="s">
        <v>34</v>
      </c>
    </row>
    <row r="22" customFormat="false" ht="23.85" hidden="false" customHeight="false" outlineLevel="0" collapsed="false">
      <c r="A22" s="2" t="s">
        <v>35</v>
      </c>
      <c r="B22" s="3" t="s">
        <v>36</v>
      </c>
    </row>
    <row r="23" customFormat="false" ht="23.85" hidden="false" customHeight="false" outlineLevel="0" collapsed="false">
      <c r="A23" s="2" t="s">
        <v>37</v>
      </c>
      <c r="B23" s="3" t="s">
        <v>38</v>
      </c>
    </row>
    <row r="24" customFormat="false" ht="23.85" hidden="false" customHeight="false" outlineLevel="0" collapsed="false">
      <c r="A24" s="2" t="s">
        <v>39</v>
      </c>
      <c r="B24" s="3" t="s">
        <v>40</v>
      </c>
    </row>
    <row r="25" customFormat="false" ht="35.05" hidden="false" customHeight="false" outlineLevel="0" collapsed="false">
      <c r="A25" s="2" t="s">
        <v>41</v>
      </c>
      <c r="B25" s="3" t="s">
        <v>42</v>
      </c>
    </row>
    <row r="26" customFormat="false" ht="15" hidden="false" customHeight="false" outlineLevel="0" collapsed="false">
      <c r="A26" s="2" t="s">
        <v>43</v>
      </c>
      <c r="B26" s="3" t="s">
        <v>44</v>
      </c>
    </row>
    <row r="27" customFormat="false" ht="23.85" hidden="false" customHeight="false" outlineLevel="0" collapsed="false">
      <c r="A27" s="2" t="s">
        <v>45</v>
      </c>
      <c r="B27" s="3" t="s">
        <v>46</v>
      </c>
    </row>
    <row r="28" customFormat="false" ht="35.05" hidden="false" customHeight="false" outlineLevel="0" collapsed="false">
      <c r="A28" s="2" t="s">
        <v>47</v>
      </c>
      <c r="B28" s="3" t="s">
        <v>48</v>
      </c>
    </row>
    <row r="29" customFormat="false" ht="15" hidden="false" customHeight="false" outlineLevel="0" collapsed="false">
      <c r="A29" s="2"/>
      <c r="B29" s="3"/>
    </row>
    <row r="30" customFormat="false" ht="15" hidden="false" customHeight="false" outlineLevel="0" collapsed="false">
      <c r="A30" s="4" t="s">
        <v>49</v>
      </c>
      <c r="B30" s="5"/>
    </row>
    <row r="31" customFormat="false" ht="15" hidden="false" customHeight="false" outlineLevel="0" collapsed="false">
      <c r="A31" s="2" t="s">
        <v>50</v>
      </c>
      <c r="B31" s="3" t="s">
        <v>51</v>
      </c>
    </row>
    <row r="32" customFormat="false" ht="23.85" hidden="false" customHeight="false" outlineLevel="0" collapsed="false">
      <c r="A32" s="2" t="s">
        <v>52</v>
      </c>
      <c r="B32" s="3" t="s">
        <v>53</v>
      </c>
    </row>
    <row r="33" customFormat="false" ht="15" hidden="false" customHeight="false" outlineLevel="0" collapsed="false">
      <c r="A33" s="2" t="s">
        <v>54</v>
      </c>
      <c r="B33" s="3" t="s">
        <v>55</v>
      </c>
    </row>
    <row r="34" customFormat="false" ht="15" hidden="false" customHeight="false" outlineLevel="0" collapsed="false">
      <c r="A34" s="2"/>
      <c r="B34" s="3"/>
    </row>
    <row r="35" customFormat="false" ht="15" hidden="false" customHeight="false" outlineLevel="0" collapsed="false">
      <c r="A35" s="4" t="s">
        <v>56</v>
      </c>
      <c r="B35" s="5"/>
    </row>
    <row r="36" customFormat="false" ht="15" hidden="false" customHeight="false" outlineLevel="0" collapsed="false">
      <c r="A36" s="2" t="s">
        <v>57</v>
      </c>
      <c r="B36" s="3" t="s">
        <v>58</v>
      </c>
    </row>
    <row r="37" customFormat="false" ht="15" hidden="false" customHeight="false" outlineLevel="0" collapsed="false">
      <c r="A37" s="2" t="s">
        <v>59</v>
      </c>
      <c r="B37" s="3" t="s">
        <v>60</v>
      </c>
    </row>
    <row r="38" customFormat="false" ht="15" hidden="false" customHeight="false" outlineLevel="0" collapsed="false">
      <c r="A38" s="2" t="s">
        <v>61</v>
      </c>
      <c r="B38" s="3" t="s">
        <v>62</v>
      </c>
    </row>
    <row r="39" customFormat="false" ht="15" hidden="false" customHeight="false" outlineLevel="0" collapsed="false">
      <c r="A39" s="2" t="s">
        <v>63</v>
      </c>
      <c r="B39" s="3" t="s">
        <v>64</v>
      </c>
    </row>
    <row r="40" customFormat="false" ht="23.85" hidden="false" customHeight="false" outlineLevel="0" collapsed="false">
      <c r="A40" s="2" t="s">
        <v>65</v>
      </c>
      <c r="B40" s="3" t="s">
        <v>66</v>
      </c>
    </row>
    <row r="41" customFormat="false" ht="15" hidden="false" customHeight="false" outlineLevel="0" collapsed="false">
      <c r="A41" s="2" t="s">
        <v>67</v>
      </c>
      <c r="B41" s="3" t="s">
        <v>68</v>
      </c>
    </row>
    <row r="42" customFormat="false" ht="15" hidden="false" customHeight="false" outlineLevel="0" collapsed="false">
      <c r="A42" s="2" t="s">
        <v>69</v>
      </c>
      <c r="B42" s="3" t="s">
        <v>70</v>
      </c>
    </row>
    <row r="43" customFormat="false" ht="15" hidden="false" customHeight="false" outlineLevel="0" collapsed="false">
      <c r="A43" s="2"/>
      <c r="B43" s="3"/>
    </row>
    <row r="44" customFormat="false" ht="15" hidden="false" customHeight="false" outlineLevel="0" collapsed="false">
      <c r="A44" s="4" t="s">
        <v>71</v>
      </c>
      <c r="B44" s="5"/>
    </row>
    <row r="45" customFormat="false" ht="23.85" hidden="false" customHeight="false" outlineLevel="0" collapsed="false">
      <c r="A45" s="2" t="s">
        <v>72</v>
      </c>
      <c r="B45" s="3" t="s">
        <v>73</v>
      </c>
    </row>
    <row r="46" customFormat="false" ht="23.85" hidden="false" customHeight="false" outlineLevel="0" collapsed="false">
      <c r="A46" s="2" t="s">
        <v>74</v>
      </c>
      <c r="B46" s="3" t="s">
        <v>75</v>
      </c>
    </row>
    <row r="47" customFormat="false" ht="15" hidden="false" customHeight="false" outlineLevel="0" collapsed="false">
      <c r="A47" s="2" t="s">
        <v>76</v>
      </c>
      <c r="B47" s="3" t="s">
        <v>77</v>
      </c>
    </row>
    <row r="48" customFormat="false" ht="23.85" hidden="false" customHeight="false" outlineLevel="0" collapsed="false">
      <c r="A48" s="2" t="s">
        <v>78</v>
      </c>
      <c r="B48" s="3" t="s">
        <v>79</v>
      </c>
    </row>
    <row r="50" customFormat="false" ht="15" hidden="false" customHeight="false" outlineLevel="0" collapsed="false">
      <c r="A50" s="6" t="s">
        <v>80</v>
      </c>
    </row>
    <row r="51" customFormat="false" ht="15" hidden="false" customHeight="false" outlineLevel="0" collapsed="false">
      <c r="A51" s="7" t="s">
        <v>81</v>
      </c>
      <c r="B51" s="8" t="n">
        <f aca="false">COUNTA('Feature Matrix'!A2:A1000)</f>
        <v>460</v>
      </c>
    </row>
    <row r="52" customFormat="false" ht="15" hidden="false" customHeight="false" outlineLevel="0" collapsed="false">
      <c r="A52" s="7" t="s">
        <v>82</v>
      </c>
      <c r="B52" s="8" t="str">
        <f aca="false">Summary!C55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26"/>
    <col collapsed="false" customWidth="true" hidden="false" outlineLevel="0" max="12" min="12" style="0" width="34"/>
    <col collapsed="false" customWidth="true" hidden="false" outlineLevel="0" max="13" min="13" style="0" width="11"/>
  </cols>
  <sheetData>
    <row r="1" customFormat="false" ht="31.5" hidden="false" customHeight="true" outlineLevel="0" collapsed="false">
      <c r="A1" s="9" t="s">
        <v>23</v>
      </c>
      <c r="B1" s="9" t="s">
        <v>25</v>
      </c>
      <c r="C1" s="9" t="s">
        <v>27</v>
      </c>
      <c r="D1" s="9" t="s">
        <v>29</v>
      </c>
      <c r="E1" s="9" t="s">
        <v>31</v>
      </c>
      <c r="F1" s="9" t="s">
        <v>33</v>
      </c>
      <c r="G1" s="9" t="s">
        <v>35</v>
      </c>
      <c r="H1" s="9" t="s">
        <v>37</v>
      </c>
      <c r="I1" s="9" t="s">
        <v>39</v>
      </c>
      <c r="J1" s="9" t="s">
        <v>41</v>
      </c>
      <c r="K1" s="9" t="s">
        <v>43</v>
      </c>
      <c r="L1" s="9" t="s">
        <v>45</v>
      </c>
      <c r="M1" s="9" t="s">
        <v>47</v>
      </c>
    </row>
    <row r="2" customFormat="false" ht="23.85" hidden="false" customHeight="false" outlineLevel="0" collapsed="false">
      <c r="A2" s="10" t="s">
        <v>83</v>
      </c>
      <c r="B2" s="10" t="s">
        <v>84</v>
      </c>
      <c r="C2" s="10" t="s">
        <v>85</v>
      </c>
      <c r="D2" s="10" t="s">
        <v>86</v>
      </c>
      <c r="E2" s="10" t="s">
        <v>87</v>
      </c>
      <c r="F2" s="11" t="s">
        <v>88</v>
      </c>
      <c r="G2" s="11" t="n">
        <v>5</v>
      </c>
      <c r="H2" s="11" t="s">
        <v>89</v>
      </c>
      <c r="I2" s="11" t="s">
        <v>90</v>
      </c>
      <c r="J2" s="11" t="s">
        <v>91</v>
      </c>
      <c r="K2" s="10" t="s">
        <v>92</v>
      </c>
      <c r="L2" s="10" t="s">
        <v>93</v>
      </c>
      <c r="M2" s="11" t="s">
        <v>94</v>
      </c>
    </row>
    <row r="3" customFormat="false" ht="23.85" hidden="false" customHeight="false" outlineLevel="0" collapsed="false">
      <c r="A3" s="10" t="s">
        <v>95</v>
      </c>
      <c r="B3" s="10" t="s">
        <v>84</v>
      </c>
      <c r="C3" s="10" t="s">
        <v>96</v>
      </c>
      <c r="D3" s="10" t="s">
        <v>97</v>
      </c>
      <c r="E3" s="10" t="s">
        <v>98</v>
      </c>
      <c r="F3" s="11" t="s">
        <v>99</v>
      </c>
      <c r="G3" s="11" t="n">
        <v>4</v>
      </c>
      <c r="H3" s="11" t="s">
        <v>100</v>
      </c>
      <c r="I3" s="11" t="s">
        <v>90</v>
      </c>
      <c r="J3" s="11" t="s">
        <v>91</v>
      </c>
      <c r="K3" s="10" t="s">
        <v>92</v>
      </c>
      <c r="L3" s="10" t="s">
        <v>93</v>
      </c>
      <c r="M3" s="11" t="s">
        <v>94</v>
      </c>
    </row>
    <row r="4" customFormat="false" ht="23.85" hidden="false" customHeight="false" outlineLevel="0" collapsed="false">
      <c r="A4" s="10" t="s">
        <v>101</v>
      </c>
      <c r="B4" s="10" t="s">
        <v>84</v>
      </c>
      <c r="C4" s="10" t="s">
        <v>102</v>
      </c>
      <c r="D4" s="10" t="s">
        <v>103</v>
      </c>
      <c r="E4" s="10" t="s">
        <v>104</v>
      </c>
      <c r="F4" s="11" t="s">
        <v>105</v>
      </c>
      <c r="G4" s="11" t="n">
        <v>3</v>
      </c>
      <c r="H4" s="11" t="s">
        <v>89</v>
      </c>
      <c r="I4" s="11" t="s">
        <v>106</v>
      </c>
      <c r="J4" s="11" t="s">
        <v>91</v>
      </c>
      <c r="K4" s="10" t="s">
        <v>107</v>
      </c>
      <c r="L4" s="10" t="s">
        <v>108</v>
      </c>
      <c r="M4" s="11" t="s">
        <v>94</v>
      </c>
    </row>
    <row r="5" customFormat="false" ht="23.85" hidden="false" customHeight="false" outlineLevel="0" collapsed="false">
      <c r="A5" s="10" t="s">
        <v>109</v>
      </c>
      <c r="B5" s="10" t="s">
        <v>84</v>
      </c>
      <c r="C5" s="10" t="s">
        <v>110</v>
      </c>
      <c r="D5" s="10" t="s">
        <v>111</v>
      </c>
      <c r="E5" s="10" t="s">
        <v>112</v>
      </c>
      <c r="F5" s="11" t="s">
        <v>99</v>
      </c>
      <c r="G5" s="11" t="n">
        <v>4</v>
      </c>
      <c r="H5" s="11" t="s">
        <v>100</v>
      </c>
      <c r="I5" s="11" t="s">
        <v>106</v>
      </c>
      <c r="J5" s="11" t="s">
        <v>91</v>
      </c>
      <c r="K5" s="10" t="s">
        <v>113</v>
      </c>
      <c r="L5" s="10" t="s">
        <v>93</v>
      </c>
      <c r="M5" s="11" t="s">
        <v>94</v>
      </c>
    </row>
    <row r="6" customFormat="false" ht="23.85" hidden="false" customHeight="false" outlineLevel="0" collapsed="false">
      <c r="A6" s="10" t="s">
        <v>114</v>
      </c>
      <c r="B6" s="10" t="s">
        <v>84</v>
      </c>
      <c r="C6" s="10" t="s">
        <v>115</v>
      </c>
      <c r="D6" s="10" t="s">
        <v>116</v>
      </c>
      <c r="E6" s="10" t="s">
        <v>117</v>
      </c>
      <c r="F6" s="11" t="s">
        <v>105</v>
      </c>
      <c r="G6" s="11" t="n">
        <v>4</v>
      </c>
      <c r="H6" s="11" t="s">
        <v>100</v>
      </c>
      <c r="I6" s="11" t="s">
        <v>106</v>
      </c>
      <c r="J6" s="11" t="s">
        <v>91</v>
      </c>
      <c r="K6" s="10" t="s">
        <v>118</v>
      </c>
      <c r="L6" s="10" t="s">
        <v>119</v>
      </c>
      <c r="M6" s="11" t="s">
        <v>94</v>
      </c>
    </row>
    <row r="7" customFormat="false" ht="23.85" hidden="false" customHeight="false" outlineLevel="0" collapsed="false">
      <c r="A7" s="10" t="s">
        <v>120</v>
      </c>
      <c r="B7" s="10" t="s">
        <v>84</v>
      </c>
      <c r="C7" s="10" t="s">
        <v>121</v>
      </c>
      <c r="D7" s="10" t="s">
        <v>122</v>
      </c>
      <c r="E7" s="10" t="s">
        <v>104</v>
      </c>
      <c r="F7" s="11" t="s">
        <v>105</v>
      </c>
      <c r="G7" s="11" t="n">
        <v>4</v>
      </c>
      <c r="H7" s="11" t="s">
        <v>89</v>
      </c>
      <c r="I7" s="11" t="s">
        <v>106</v>
      </c>
      <c r="J7" s="11" t="s">
        <v>91</v>
      </c>
      <c r="K7" s="10" t="s">
        <v>123</v>
      </c>
      <c r="L7" s="10" t="s">
        <v>93</v>
      </c>
      <c r="M7" s="11" t="s">
        <v>94</v>
      </c>
    </row>
    <row r="8" customFormat="false" ht="23.85" hidden="false" customHeight="false" outlineLevel="0" collapsed="false">
      <c r="A8" s="10" t="s">
        <v>124</v>
      </c>
      <c r="B8" s="10" t="s">
        <v>84</v>
      </c>
      <c r="C8" s="10" t="s">
        <v>125</v>
      </c>
      <c r="D8" s="10" t="s">
        <v>126</v>
      </c>
      <c r="E8" s="10" t="s">
        <v>104</v>
      </c>
      <c r="F8" s="11" t="s">
        <v>105</v>
      </c>
      <c r="G8" s="11" t="n">
        <v>2</v>
      </c>
      <c r="H8" s="11" t="s">
        <v>89</v>
      </c>
      <c r="I8" s="11" t="s">
        <v>106</v>
      </c>
      <c r="J8" s="11" t="s">
        <v>91</v>
      </c>
      <c r="K8" s="10" t="s">
        <v>123</v>
      </c>
      <c r="L8" s="10" t="s">
        <v>127</v>
      </c>
      <c r="M8" s="11" t="s">
        <v>94</v>
      </c>
    </row>
    <row r="9" customFormat="false" ht="23.85" hidden="false" customHeight="false" outlineLevel="0" collapsed="false">
      <c r="A9" s="10" t="s">
        <v>128</v>
      </c>
      <c r="B9" s="10" t="s">
        <v>84</v>
      </c>
      <c r="C9" s="10" t="s">
        <v>129</v>
      </c>
      <c r="D9" s="10" t="s">
        <v>130</v>
      </c>
      <c r="E9" s="10" t="s">
        <v>104</v>
      </c>
      <c r="F9" s="11" t="s">
        <v>105</v>
      </c>
      <c r="G9" s="11" t="n">
        <v>4</v>
      </c>
      <c r="H9" s="11" t="s">
        <v>100</v>
      </c>
      <c r="I9" s="11" t="s">
        <v>106</v>
      </c>
      <c r="J9" s="11" t="s">
        <v>91</v>
      </c>
      <c r="K9" s="10" t="s">
        <v>131</v>
      </c>
      <c r="L9" s="10" t="s">
        <v>93</v>
      </c>
      <c r="M9" s="11" t="s">
        <v>94</v>
      </c>
    </row>
    <row r="10" customFormat="false" ht="23.85" hidden="false" customHeight="false" outlineLevel="0" collapsed="false">
      <c r="A10" s="10" t="s">
        <v>132</v>
      </c>
      <c r="B10" s="10" t="s">
        <v>84</v>
      </c>
      <c r="C10" s="10" t="s">
        <v>133</v>
      </c>
      <c r="D10" s="10" t="s">
        <v>134</v>
      </c>
      <c r="E10" s="10" t="s">
        <v>104</v>
      </c>
      <c r="F10" s="11" t="s">
        <v>105</v>
      </c>
      <c r="G10" s="11" t="n">
        <v>3</v>
      </c>
      <c r="H10" s="11" t="s">
        <v>89</v>
      </c>
      <c r="I10" s="11" t="s">
        <v>106</v>
      </c>
      <c r="J10" s="11" t="s">
        <v>91</v>
      </c>
      <c r="K10" s="10" t="s">
        <v>135</v>
      </c>
      <c r="L10" s="10" t="s">
        <v>93</v>
      </c>
      <c r="M10" s="11" t="s">
        <v>94</v>
      </c>
    </row>
    <row r="11" customFormat="false" ht="23.85" hidden="false" customHeight="false" outlineLevel="0" collapsed="false">
      <c r="A11" s="10" t="s">
        <v>136</v>
      </c>
      <c r="B11" s="10" t="s">
        <v>84</v>
      </c>
      <c r="C11" s="10" t="s">
        <v>137</v>
      </c>
      <c r="D11" s="10" t="s">
        <v>138</v>
      </c>
      <c r="E11" s="10" t="s">
        <v>104</v>
      </c>
      <c r="F11" s="11" t="s">
        <v>105</v>
      </c>
      <c r="G11" s="11" t="n">
        <v>3</v>
      </c>
      <c r="H11" s="11" t="s">
        <v>89</v>
      </c>
      <c r="I11" s="11" t="s">
        <v>106</v>
      </c>
      <c r="J11" s="11" t="s">
        <v>91</v>
      </c>
      <c r="K11" s="10" t="s">
        <v>139</v>
      </c>
      <c r="L11" s="10" t="s">
        <v>127</v>
      </c>
      <c r="M11" s="11" t="s">
        <v>94</v>
      </c>
    </row>
    <row r="12" customFormat="false" ht="23.85" hidden="false" customHeight="false" outlineLevel="0" collapsed="false">
      <c r="A12" s="10" t="s">
        <v>140</v>
      </c>
      <c r="B12" s="10" t="s">
        <v>84</v>
      </c>
      <c r="C12" s="10" t="s">
        <v>141</v>
      </c>
      <c r="D12" s="10" t="s">
        <v>142</v>
      </c>
      <c r="E12" s="10" t="s">
        <v>104</v>
      </c>
      <c r="F12" s="11" t="s">
        <v>105</v>
      </c>
      <c r="G12" s="11" t="n">
        <v>4</v>
      </c>
      <c r="H12" s="11" t="s">
        <v>143</v>
      </c>
      <c r="I12" s="11" t="s">
        <v>144</v>
      </c>
      <c r="J12" s="11" t="s">
        <v>91</v>
      </c>
      <c r="K12" s="10" t="s">
        <v>145</v>
      </c>
      <c r="L12" s="10" t="s">
        <v>93</v>
      </c>
      <c r="M12" s="11" t="s">
        <v>94</v>
      </c>
    </row>
    <row r="13" customFormat="false" ht="23.85" hidden="false" customHeight="false" outlineLevel="0" collapsed="false">
      <c r="A13" s="10" t="s">
        <v>146</v>
      </c>
      <c r="B13" s="10" t="s">
        <v>84</v>
      </c>
      <c r="C13" s="10" t="s">
        <v>147</v>
      </c>
      <c r="D13" s="10" t="s">
        <v>148</v>
      </c>
      <c r="E13" s="10" t="s">
        <v>149</v>
      </c>
      <c r="F13" s="11" t="s">
        <v>99</v>
      </c>
      <c r="G13" s="11" t="n">
        <v>3</v>
      </c>
      <c r="H13" s="11" t="s">
        <v>100</v>
      </c>
      <c r="I13" s="11" t="s">
        <v>106</v>
      </c>
      <c r="J13" s="11" t="s">
        <v>91</v>
      </c>
      <c r="K13" s="10" t="s">
        <v>150</v>
      </c>
      <c r="L13" s="10" t="s">
        <v>93</v>
      </c>
      <c r="M13" s="11" t="s">
        <v>94</v>
      </c>
    </row>
    <row r="14" customFormat="false" ht="23.85" hidden="false" customHeight="false" outlineLevel="0" collapsed="false">
      <c r="A14" s="10" t="s">
        <v>151</v>
      </c>
      <c r="B14" s="10" t="s">
        <v>84</v>
      </c>
      <c r="C14" s="10" t="s">
        <v>152</v>
      </c>
      <c r="D14" s="10" t="s">
        <v>153</v>
      </c>
      <c r="E14" s="10" t="s">
        <v>154</v>
      </c>
      <c r="F14" s="11" t="s">
        <v>105</v>
      </c>
      <c r="G14" s="11" t="n">
        <v>2</v>
      </c>
      <c r="H14" s="11" t="s">
        <v>89</v>
      </c>
      <c r="I14" s="11" t="s">
        <v>106</v>
      </c>
      <c r="J14" s="11" t="s">
        <v>155</v>
      </c>
      <c r="K14" s="10" t="s">
        <v>156</v>
      </c>
      <c r="L14" s="10" t="s">
        <v>93</v>
      </c>
      <c r="M14" s="11" t="s">
        <v>157</v>
      </c>
    </row>
    <row r="15" customFormat="false" ht="23.85" hidden="false" customHeight="false" outlineLevel="0" collapsed="false">
      <c r="A15" s="10" t="s">
        <v>158</v>
      </c>
      <c r="B15" s="10" t="s">
        <v>84</v>
      </c>
      <c r="C15" s="10" t="s">
        <v>159</v>
      </c>
      <c r="D15" s="10" t="s">
        <v>160</v>
      </c>
      <c r="E15" s="10" t="s">
        <v>161</v>
      </c>
      <c r="F15" s="11" t="s">
        <v>99</v>
      </c>
      <c r="G15" s="11" t="n">
        <v>4</v>
      </c>
      <c r="H15" s="11" t="s">
        <v>100</v>
      </c>
      <c r="I15" s="11" t="s">
        <v>106</v>
      </c>
      <c r="J15" s="11" t="s">
        <v>91</v>
      </c>
      <c r="K15" s="10" t="s">
        <v>162</v>
      </c>
      <c r="L15" s="10" t="s">
        <v>127</v>
      </c>
      <c r="M15" s="11" t="s">
        <v>94</v>
      </c>
    </row>
    <row r="16" customFormat="false" ht="23.85" hidden="false" customHeight="false" outlineLevel="0" collapsed="false">
      <c r="A16" s="10" t="s">
        <v>163</v>
      </c>
      <c r="B16" s="10" t="s">
        <v>84</v>
      </c>
      <c r="C16" s="10" t="s">
        <v>164</v>
      </c>
      <c r="D16" s="10" t="s">
        <v>165</v>
      </c>
      <c r="E16" s="10" t="s">
        <v>166</v>
      </c>
      <c r="F16" s="11" t="s">
        <v>99</v>
      </c>
      <c r="G16" s="11" t="n">
        <v>2</v>
      </c>
      <c r="H16" s="11" t="s">
        <v>89</v>
      </c>
      <c r="I16" s="11" t="s">
        <v>144</v>
      </c>
      <c r="J16" s="11" t="s">
        <v>155</v>
      </c>
      <c r="K16" s="10" t="s">
        <v>167</v>
      </c>
      <c r="L16" s="10" t="s">
        <v>93</v>
      </c>
      <c r="M16" s="11" t="s">
        <v>157</v>
      </c>
    </row>
    <row r="17" customFormat="false" ht="23.85" hidden="false" customHeight="false" outlineLevel="0" collapsed="false">
      <c r="A17" s="10" t="s">
        <v>168</v>
      </c>
      <c r="B17" s="10" t="s">
        <v>84</v>
      </c>
      <c r="C17" s="10" t="s">
        <v>169</v>
      </c>
      <c r="D17" s="10" t="s">
        <v>170</v>
      </c>
      <c r="E17" s="10" t="s">
        <v>171</v>
      </c>
      <c r="F17" s="11" t="s">
        <v>99</v>
      </c>
      <c r="G17" s="11" t="n">
        <v>3</v>
      </c>
      <c r="H17" s="11" t="s">
        <v>100</v>
      </c>
      <c r="I17" s="11" t="s">
        <v>172</v>
      </c>
      <c r="J17" s="11" t="s">
        <v>91</v>
      </c>
      <c r="K17" s="10" t="s">
        <v>135</v>
      </c>
      <c r="L17" s="10" t="s">
        <v>93</v>
      </c>
      <c r="M17" s="11" t="s">
        <v>94</v>
      </c>
    </row>
    <row r="18" customFormat="false" ht="23.85" hidden="false" customHeight="false" outlineLevel="0" collapsed="false">
      <c r="A18" s="10" t="s">
        <v>173</v>
      </c>
      <c r="B18" s="10" t="s">
        <v>84</v>
      </c>
      <c r="C18" s="10" t="s">
        <v>174</v>
      </c>
      <c r="D18" s="10" t="s">
        <v>175</v>
      </c>
      <c r="E18" s="10" t="s">
        <v>154</v>
      </c>
      <c r="F18" s="11" t="s">
        <v>105</v>
      </c>
      <c r="G18" s="11" t="n">
        <v>2</v>
      </c>
      <c r="H18" s="11" t="s">
        <v>100</v>
      </c>
      <c r="I18" s="11" t="s">
        <v>172</v>
      </c>
      <c r="J18" s="11" t="s">
        <v>176</v>
      </c>
      <c r="K18" s="10" t="s">
        <v>177</v>
      </c>
      <c r="L18" s="10" t="s">
        <v>93</v>
      </c>
      <c r="M18" s="11" t="s">
        <v>157</v>
      </c>
    </row>
    <row r="19" customFormat="false" ht="23.85" hidden="false" customHeight="false" outlineLevel="0" collapsed="false">
      <c r="A19" s="10" t="s">
        <v>178</v>
      </c>
      <c r="B19" s="10" t="s">
        <v>179</v>
      </c>
      <c r="C19" s="10" t="s">
        <v>180</v>
      </c>
      <c r="D19" s="10" t="s">
        <v>181</v>
      </c>
      <c r="E19" s="10" t="s">
        <v>182</v>
      </c>
      <c r="F19" s="11" t="s">
        <v>99</v>
      </c>
      <c r="G19" s="11" t="n">
        <v>5</v>
      </c>
      <c r="H19" s="11" t="s">
        <v>89</v>
      </c>
      <c r="I19" s="11" t="s">
        <v>90</v>
      </c>
      <c r="J19" s="11" t="s">
        <v>91</v>
      </c>
      <c r="K19" s="10" t="s">
        <v>139</v>
      </c>
      <c r="L19" s="10" t="s">
        <v>183</v>
      </c>
      <c r="M19" s="11" t="s">
        <v>94</v>
      </c>
    </row>
    <row r="20" customFormat="false" ht="23.85" hidden="false" customHeight="false" outlineLevel="0" collapsed="false">
      <c r="A20" s="10" t="s">
        <v>184</v>
      </c>
      <c r="B20" s="10" t="s">
        <v>179</v>
      </c>
      <c r="C20" s="10" t="s">
        <v>185</v>
      </c>
      <c r="D20" s="10" t="s">
        <v>186</v>
      </c>
      <c r="E20" s="10" t="s">
        <v>104</v>
      </c>
      <c r="F20" s="11" t="s">
        <v>105</v>
      </c>
      <c r="G20" s="11" t="n">
        <v>4</v>
      </c>
      <c r="H20" s="11" t="s">
        <v>100</v>
      </c>
      <c r="I20" s="11" t="s">
        <v>106</v>
      </c>
      <c r="J20" s="11" t="s">
        <v>91</v>
      </c>
      <c r="K20" s="10" t="s">
        <v>139</v>
      </c>
      <c r="L20" s="10" t="s">
        <v>187</v>
      </c>
      <c r="M20" s="11" t="s">
        <v>94</v>
      </c>
    </row>
    <row r="21" customFormat="false" ht="23.85" hidden="false" customHeight="false" outlineLevel="0" collapsed="false">
      <c r="A21" s="10" t="s">
        <v>188</v>
      </c>
      <c r="B21" s="10" t="s">
        <v>179</v>
      </c>
      <c r="C21" s="10" t="s">
        <v>189</v>
      </c>
      <c r="D21" s="10" t="s">
        <v>190</v>
      </c>
      <c r="E21" s="10" t="s">
        <v>191</v>
      </c>
      <c r="F21" s="11" t="s">
        <v>99</v>
      </c>
      <c r="G21" s="11" t="n">
        <v>4</v>
      </c>
      <c r="H21" s="11" t="s">
        <v>100</v>
      </c>
      <c r="I21" s="11" t="s">
        <v>90</v>
      </c>
      <c r="J21" s="11" t="s">
        <v>91</v>
      </c>
      <c r="K21" s="10" t="s">
        <v>139</v>
      </c>
      <c r="L21" s="10" t="s">
        <v>183</v>
      </c>
      <c r="M21" s="11" t="s">
        <v>94</v>
      </c>
    </row>
    <row r="22" customFormat="false" ht="23.85" hidden="false" customHeight="false" outlineLevel="0" collapsed="false">
      <c r="A22" s="10" t="s">
        <v>192</v>
      </c>
      <c r="B22" s="10" t="s">
        <v>179</v>
      </c>
      <c r="C22" s="10" t="s">
        <v>193</v>
      </c>
      <c r="D22" s="10" t="s">
        <v>194</v>
      </c>
      <c r="E22" s="10" t="s">
        <v>104</v>
      </c>
      <c r="F22" s="11" t="s">
        <v>105</v>
      </c>
      <c r="G22" s="11" t="n">
        <v>3</v>
      </c>
      <c r="H22" s="11" t="s">
        <v>100</v>
      </c>
      <c r="I22" s="11" t="s">
        <v>106</v>
      </c>
      <c r="J22" s="11" t="s">
        <v>91</v>
      </c>
      <c r="K22" s="10" t="s">
        <v>195</v>
      </c>
      <c r="L22" s="10" t="s">
        <v>183</v>
      </c>
      <c r="M22" s="11" t="s">
        <v>94</v>
      </c>
    </row>
    <row r="23" customFormat="false" ht="23.85" hidden="false" customHeight="false" outlineLevel="0" collapsed="false">
      <c r="A23" s="10" t="s">
        <v>196</v>
      </c>
      <c r="B23" s="10" t="s">
        <v>179</v>
      </c>
      <c r="C23" s="10" t="s">
        <v>197</v>
      </c>
      <c r="D23" s="10" t="s">
        <v>198</v>
      </c>
      <c r="E23" s="10" t="s">
        <v>199</v>
      </c>
      <c r="F23" s="11" t="s">
        <v>99</v>
      </c>
      <c r="G23" s="11" t="n">
        <v>4</v>
      </c>
      <c r="H23" s="11" t="s">
        <v>100</v>
      </c>
      <c r="I23" s="11" t="s">
        <v>106</v>
      </c>
      <c r="J23" s="11" t="s">
        <v>91</v>
      </c>
      <c r="K23" s="10" t="s">
        <v>200</v>
      </c>
      <c r="L23" s="10" t="s">
        <v>201</v>
      </c>
      <c r="M23" s="11" t="s">
        <v>94</v>
      </c>
    </row>
    <row r="24" customFormat="false" ht="23.85" hidden="false" customHeight="false" outlineLevel="0" collapsed="false">
      <c r="A24" s="10" t="s">
        <v>202</v>
      </c>
      <c r="B24" s="10" t="s">
        <v>179</v>
      </c>
      <c r="C24" s="10" t="s">
        <v>203</v>
      </c>
      <c r="D24" s="10" t="s">
        <v>204</v>
      </c>
      <c r="E24" s="10" t="s">
        <v>205</v>
      </c>
      <c r="F24" s="11" t="s">
        <v>99</v>
      </c>
      <c r="G24" s="11" t="n">
        <v>5</v>
      </c>
      <c r="H24" s="11" t="s">
        <v>89</v>
      </c>
      <c r="I24" s="11" t="s">
        <v>90</v>
      </c>
      <c r="J24" s="11" t="s">
        <v>91</v>
      </c>
      <c r="K24" s="10" t="s">
        <v>150</v>
      </c>
      <c r="L24" s="10" t="s">
        <v>183</v>
      </c>
      <c r="M24" s="11" t="s">
        <v>94</v>
      </c>
    </row>
    <row r="25" customFormat="false" ht="23.85" hidden="false" customHeight="false" outlineLevel="0" collapsed="false">
      <c r="A25" s="10" t="s">
        <v>206</v>
      </c>
      <c r="B25" s="10" t="s">
        <v>179</v>
      </c>
      <c r="C25" s="10" t="s">
        <v>207</v>
      </c>
      <c r="D25" s="10" t="s">
        <v>208</v>
      </c>
      <c r="E25" s="10" t="s">
        <v>104</v>
      </c>
      <c r="F25" s="11" t="s">
        <v>105</v>
      </c>
      <c r="G25" s="11" t="n">
        <v>4</v>
      </c>
      <c r="H25" s="11" t="s">
        <v>143</v>
      </c>
      <c r="I25" s="11" t="s">
        <v>106</v>
      </c>
      <c r="J25" s="11" t="s">
        <v>91</v>
      </c>
      <c r="K25" s="10" t="s">
        <v>209</v>
      </c>
      <c r="L25" s="10" t="s">
        <v>183</v>
      </c>
      <c r="M25" s="11" t="s">
        <v>94</v>
      </c>
    </row>
    <row r="26" customFormat="false" ht="23.85" hidden="false" customHeight="false" outlineLevel="0" collapsed="false">
      <c r="A26" s="10" t="s">
        <v>210</v>
      </c>
      <c r="B26" s="10" t="s">
        <v>179</v>
      </c>
      <c r="C26" s="10" t="s">
        <v>211</v>
      </c>
      <c r="D26" s="10" t="s">
        <v>212</v>
      </c>
      <c r="E26" s="10" t="s">
        <v>104</v>
      </c>
      <c r="F26" s="11" t="s">
        <v>105</v>
      </c>
      <c r="G26" s="11" t="n">
        <v>3</v>
      </c>
      <c r="H26" s="11" t="s">
        <v>100</v>
      </c>
      <c r="I26" s="11" t="s">
        <v>144</v>
      </c>
      <c r="J26" s="11" t="s">
        <v>91</v>
      </c>
      <c r="K26" s="10" t="s">
        <v>213</v>
      </c>
      <c r="L26" s="10" t="s">
        <v>183</v>
      </c>
      <c r="M26" s="11" t="s">
        <v>94</v>
      </c>
    </row>
    <row r="27" customFormat="false" ht="23.85" hidden="false" customHeight="false" outlineLevel="0" collapsed="false">
      <c r="A27" s="10" t="s">
        <v>214</v>
      </c>
      <c r="B27" s="10" t="s">
        <v>179</v>
      </c>
      <c r="C27" s="10" t="s">
        <v>215</v>
      </c>
      <c r="D27" s="10" t="s">
        <v>216</v>
      </c>
      <c r="E27" s="10" t="s">
        <v>117</v>
      </c>
      <c r="F27" s="11" t="s">
        <v>105</v>
      </c>
      <c r="G27" s="11" t="n">
        <v>2</v>
      </c>
      <c r="H27" s="11" t="s">
        <v>89</v>
      </c>
      <c r="I27" s="11" t="s">
        <v>106</v>
      </c>
      <c r="J27" s="11" t="s">
        <v>91</v>
      </c>
      <c r="K27" s="10" t="s">
        <v>217</v>
      </c>
      <c r="L27" s="10" t="s">
        <v>183</v>
      </c>
      <c r="M27" s="11" t="s">
        <v>94</v>
      </c>
    </row>
    <row r="28" customFormat="false" ht="23.85" hidden="false" customHeight="false" outlineLevel="0" collapsed="false">
      <c r="A28" s="10" t="s">
        <v>218</v>
      </c>
      <c r="B28" s="10" t="s">
        <v>179</v>
      </c>
      <c r="C28" s="10" t="s">
        <v>219</v>
      </c>
      <c r="D28" s="10" t="s">
        <v>220</v>
      </c>
      <c r="E28" s="10" t="s">
        <v>154</v>
      </c>
      <c r="F28" s="11" t="s">
        <v>105</v>
      </c>
      <c r="G28" s="11" t="n">
        <v>2</v>
      </c>
      <c r="H28" s="11" t="s">
        <v>89</v>
      </c>
      <c r="I28" s="11" t="s">
        <v>106</v>
      </c>
      <c r="J28" s="11" t="s">
        <v>91</v>
      </c>
      <c r="K28" s="10" t="s">
        <v>221</v>
      </c>
      <c r="L28" s="10" t="s">
        <v>222</v>
      </c>
      <c r="M28" s="11" t="s">
        <v>94</v>
      </c>
    </row>
    <row r="29" customFormat="false" ht="23.85" hidden="false" customHeight="false" outlineLevel="0" collapsed="false">
      <c r="A29" s="10" t="s">
        <v>223</v>
      </c>
      <c r="B29" s="10" t="s">
        <v>179</v>
      </c>
      <c r="C29" s="10" t="s">
        <v>224</v>
      </c>
      <c r="D29" s="10" t="s">
        <v>225</v>
      </c>
      <c r="E29" s="10" t="s">
        <v>166</v>
      </c>
      <c r="F29" s="11" t="s">
        <v>99</v>
      </c>
      <c r="G29" s="11" t="n">
        <v>2</v>
      </c>
      <c r="H29" s="11" t="s">
        <v>89</v>
      </c>
      <c r="I29" s="11" t="s">
        <v>144</v>
      </c>
      <c r="J29" s="11" t="s">
        <v>155</v>
      </c>
      <c r="K29" s="10" t="s">
        <v>167</v>
      </c>
      <c r="L29" s="10" t="s">
        <v>183</v>
      </c>
      <c r="M29" s="11" t="s">
        <v>157</v>
      </c>
    </row>
    <row r="30" customFormat="false" ht="23.85" hidden="false" customHeight="false" outlineLevel="0" collapsed="false">
      <c r="A30" s="10" t="s">
        <v>226</v>
      </c>
      <c r="B30" s="10" t="s">
        <v>227</v>
      </c>
      <c r="C30" s="10" t="s">
        <v>228</v>
      </c>
      <c r="D30" s="10" t="s">
        <v>229</v>
      </c>
      <c r="E30" s="10" t="s">
        <v>230</v>
      </c>
      <c r="F30" s="11" t="s">
        <v>88</v>
      </c>
      <c r="G30" s="11" t="n">
        <v>5</v>
      </c>
      <c r="H30" s="11" t="s">
        <v>100</v>
      </c>
      <c r="I30" s="11" t="s">
        <v>90</v>
      </c>
      <c r="J30" s="11" t="s">
        <v>91</v>
      </c>
      <c r="K30" s="10" t="s">
        <v>123</v>
      </c>
      <c r="L30" s="10" t="s">
        <v>231</v>
      </c>
      <c r="M30" s="11" t="s">
        <v>94</v>
      </c>
    </row>
    <row r="31" customFormat="false" ht="23.85" hidden="false" customHeight="false" outlineLevel="0" collapsed="false">
      <c r="A31" s="10" t="s">
        <v>232</v>
      </c>
      <c r="B31" s="10" t="s">
        <v>227</v>
      </c>
      <c r="C31" s="10" t="s">
        <v>233</v>
      </c>
      <c r="D31" s="10" t="s">
        <v>234</v>
      </c>
      <c r="E31" s="10" t="s">
        <v>235</v>
      </c>
      <c r="F31" s="11" t="s">
        <v>99</v>
      </c>
      <c r="G31" s="11" t="n">
        <v>5</v>
      </c>
      <c r="H31" s="11" t="s">
        <v>100</v>
      </c>
      <c r="I31" s="11" t="s">
        <v>90</v>
      </c>
      <c r="J31" s="11" t="s">
        <v>91</v>
      </c>
      <c r="K31" s="10" t="s">
        <v>236</v>
      </c>
      <c r="L31" s="10" t="s">
        <v>231</v>
      </c>
      <c r="M31" s="11" t="s">
        <v>94</v>
      </c>
    </row>
    <row r="32" customFormat="false" ht="23.85" hidden="false" customHeight="false" outlineLevel="0" collapsed="false">
      <c r="A32" s="10" t="s">
        <v>237</v>
      </c>
      <c r="B32" s="10" t="s">
        <v>227</v>
      </c>
      <c r="C32" s="10" t="s">
        <v>238</v>
      </c>
      <c r="D32" s="10" t="s">
        <v>239</v>
      </c>
      <c r="E32" s="10" t="s">
        <v>240</v>
      </c>
      <c r="F32" s="11" t="s">
        <v>99</v>
      </c>
      <c r="G32" s="11" t="n">
        <v>5</v>
      </c>
      <c r="H32" s="11" t="s">
        <v>241</v>
      </c>
      <c r="I32" s="11" t="s">
        <v>90</v>
      </c>
      <c r="J32" s="11" t="s">
        <v>91</v>
      </c>
      <c r="K32" s="10" t="s">
        <v>242</v>
      </c>
      <c r="L32" s="10" t="s">
        <v>231</v>
      </c>
      <c r="M32" s="11" t="s">
        <v>94</v>
      </c>
    </row>
    <row r="33" customFormat="false" ht="23.85" hidden="false" customHeight="false" outlineLevel="0" collapsed="false">
      <c r="A33" s="10" t="s">
        <v>243</v>
      </c>
      <c r="B33" s="10" t="s">
        <v>227</v>
      </c>
      <c r="C33" s="10" t="s">
        <v>244</v>
      </c>
      <c r="D33" s="10" t="s">
        <v>245</v>
      </c>
      <c r="E33" s="10" t="s">
        <v>104</v>
      </c>
      <c r="F33" s="11" t="s">
        <v>105</v>
      </c>
      <c r="G33" s="11" t="n">
        <v>5</v>
      </c>
      <c r="H33" s="11" t="s">
        <v>143</v>
      </c>
      <c r="I33" s="11" t="s">
        <v>90</v>
      </c>
      <c r="J33" s="11" t="s">
        <v>91</v>
      </c>
      <c r="K33" s="10" t="s">
        <v>150</v>
      </c>
      <c r="L33" s="10" t="s">
        <v>231</v>
      </c>
      <c r="M33" s="11" t="s">
        <v>94</v>
      </c>
    </row>
    <row r="34" customFormat="false" ht="23.85" hidden="false" customHeight="false" outlineLevel="0" collapsed="false">
      <c r="A34" s="10" t="s">
        <v>246</v>
      </c>
      <c r="B34" s="10" t="s">
        <v>227</v>
      </c>
      <c r="C34" s="10" t="s">
        <v>247</v>
      </c>
      <c r="D34" s="10" t="s">
        <v>248</v>
      </c>
      <c r="E34" s="10" t="s">
        <v>104</v>
      </c>
      <c r="F34" s="11" t="s">
        <v>105</v>
      </c>
      <c r="G34" s="11" t="n">
        <v>5</v>
      </c>
      <c r="H34" s="11" t="s">
        <v>143</v>
      </c>
      <c r="I34" s="11" t="s">
        <v>90</v>
      </c>
      <c r="J34" s="11" t="s">
        <v>91</v>
      </c>
      <c r="K34" s="10" t="s">
        <v>249</v>
      </c>
      <c r="L34" s="10" t="s">
        <v>231</v>
      </c>
      <c r="M34" s="11" t="s">
        <v>94</v>
      </c>
    </row>
    <row r="35" customFormat="false" ht="23.85" hidden="false" customHeight="false" outlineLevel="0" collapsed="false">
      <c r="A35" s="10" t="s">
        <v>250</v>
      </c>
      <c r="B35" s="10" t="s">
        <v>227</v>
      </c>
      <c r="C35" s="10" t="s">
        <v>251</v>
      </c>
      <c r="D35" s="10" t="s">
        <v>252</v>
      </c>
      <c r="E35" s="10" t="s">
        <v>253</v>
      </c>
      <c r="F35" s="11" t="s">
        <v>99</v>
      </c>
      <c r="G35" s="11" t="n">
        <v>3</v>
      </c>
      <c r="H35" s="11" t="s">
        <v>100</v>
      </c>
      <c r="I35" s="11" t="s">
        <v>90</v>
      </c>
      <c r="J35" s="11" t="s">
        <v>91</v>
      </c>
      <c r="K35" s="10" t="s">
        <v>254</v>
      </c>
      <c r="L35" s="10" t="s">
        <v>255</v>
      </c>
      <c r="M35" s="11" t="s">
        <v>94</v>
      </c>
    </row>
    <row r="36" customFormat="false" ht="23.85" hidden="false" customHeight="false" outlineLevel="0" collapsed="false">
      <c r="A36" s="10" t="s">
        <v>256</v>
      </c>
      <c r="B36" s="10" t="s">
        <v>227</v>
      </c>
      <c r="C36" s="10" t="s">
        <v>257</v>
      </c>
      <c r="D36" s="10" t="s">
        <v>258</v>
      </c>
      <c r="E36" s="10" t="s">
        <v>259</v>
      </c>
      <c r="F36" s="11" t="s">
        <v>99</v>
      </c>
      <c r="G36" s="11" t="n">
        <v>5</v>
      </c>
      <c r="H36" s="11" t="s">
        <v>100</v>
      </c>
      <c r="I36" s="11" t="s">
        <v>90</v>
      </c>
      <c r="J36" s="11" t="s">
        <v>91</v>
      </c>
      <c r="K36" s="10" t="s">
        <v>254</v>
      </c>
      <c r="L36" s="10" t="s">
        <v>260</v>
      </c>
      <c r="M36" s="11" t="s">
        <v>94</v>
      </c>
    </row>
    <row r="37" customFormat="false" ht="23.85" hidden="false" customHeight="false" outlineLevel="0" collapsed="false">
      <c r="A37" s="10" t="s">
        <v>261</v>
      </c>
      <c r="B37" s="10" t="s">
        <v>227</v>
      </c>
      <c r="C37" s="10" t="s">
        <v>262</v>
      </c>
      <c r="D37" s="10" t="s">
        <v>263</v>
      </c>
      <c r="E37" s="10" t="s">
        <v>104</v>
      </c>
      <c r="F37" s="11" t="s">
        <v>99</v>
      </c>
      <c r="G37" s="11" t="n">
        <v>5</v>
      </c>
      <c r="H37" s="11" t="s">
        <v>100</v>
      </c>
      <c r="I37" s="11" t="s">
        <v>90</v>
      </c>
      <c r="J37" s="11" t="s">
        <v>91</v>
      </c>
      <c r="K37" s="10" t="s">
        <v>264</v>
      </c>
      <c r="L37" s="10" t="s">
        <v>265</v>
      </c>
      <c r="M37" s="11" t="s">
        <v>94</v>
      </c>
    </row>
    <row r="38" customFormat="false" ht="23.85" hidden="false" customHeight="false" outlineLevel="0" collapsed="false">
      <c r="A38" s="10" t="s">
        <v>266</v>
      </c>
      <c r="B38" s="10" t="s">
        <v>227</v>
      </c>
      <c r="C38" s="10" t="s">
        <v>267</v>
      </c>
      <c r="D38" s="10" t="s">
        <v>268</v>
      </c>
      <c r="E38" s="10" t="s">
        <v>104</v>
      </c>
      <c r="F38" s="11" t="s">
        <v>105</v>
      </c>
      <c r="G38" s="11" t="n">
        <v>4</v>
      </c>
      <c r="H38" s="11" t="s">
        <v>89</v>
      </c>
      <c r="I38" s="11" t="s">
        <v>106</v>
      </c>
      <c r="J38" s="11" t="s">
        <v>91</v>
      </c>
      <c r="K38" s="10" t="s">
        <v>139</v>
      </c>
      <c r="L38" s="10" t="s">
        <v>269</v>
      </c>
      <c r="M38" s="11" t="s">
        <v>94</v>
      </c>
    </row>
    <row r="39" customFormat="false" ht="23.85" hidden="false" customHeight="false" outlineLevel="0" collapsed="false">
      <c r="A39" s="10" t="s">
        <v>270</v>
      </c>
      <c r="B39" s="10" t="s">
        <v>227</v>
      </c>
      <c r="C39" s="10" t="s">
        <v>271</v>
      </c>
      <c r="D39" s="10" t="s">
        <v>272</v>
      </c>
      <c r="E39" s="10" t="s">
        <v>104</v>
      </c>
      <c r="F39" s="11" t="s">
        <v>105</v>
      </c>
      <c r="G39" s="11" t="n">
        <v>4</v>
      </c>
      <c r="H39" s="11" t="s">
        <v>100</v>
      </c>
      <c r="I39" s="11" t="s">
        <v>106</v>
      </c>
      <c r="J39" s="11" t="s">
        <v>91</v>
      </c>
      <c r="K39" s="10" t="s">
        <v>221</v>
      </c>
      <c r="L39" s="10" t="s">
        <v>231</v>
      </c>
      <c r="M39" s="11" t="s">
        <v>94</v>
      </c>
    </row>
    <row r="40" customFormat="false" ht="23.85" hidden="false" customHeight="false" outlineLevel="0" collapsed="false">
      <c r="A40" s="10" t="s">
        <v>273</v>
      </c>
      <c r="B40" s="10" t="s">
        <v>227</v>
      </c>
      <c r="C40" s="10" t="s">
        <v>274</v>
      </c>
      <c r="D40" s="10" t="s">
        <v>275</v>
      </c>
      <c r="E40" s="10" t="s">
        <v>104</v>
      </c>
      <c r="F40" s="11" t="s">
        <v>105</v>
      </c>
      <c r="G40" s="11" t="n">
        <v>3</v>
      </c>
      <c r="H40" s="11" t="s">
        <v>89</v>
      </c>
      <c r="I40" s="11" t="s">
        <v>106</v>
      </c>
      <c r="J40" s="11" t="s">
        <v>91</v>
      </c>
      <c r="K40" s="10" t="s">
        <v>213</v>
      </c>
      <c r="L40" s="10" t="s">
        <v>231</v>
      </c>
      <c r="M40" s="11" t="s">
        <v>94</v>
      </c>
    </row>
    <row r="41" customFormat="false" ht="23.85" hidden="false" customHeight="false" outlineLevel="0" collapsed="false">
      <c r="A41" s="10" t="s">
        <v>276</v>
      </c>
      <c r="B41" s="10" t="s">
        <v>227</v>
      </c>
      <c r="C41" s="10" t="s">
        <v>277</v>
      </c>
      <c r="D41" s="10" t="s">
        <v>278</v>
      </c>
      <c r="E41" s="10" t="s">
        <v>104</v>
      </c>
      <c r="F41" s="11" t="s">
        <v>105</v>
      </c>
      <c r="G41" s="11" t="n">
        <v>4</v>
      </c>
      <c r="H41" s="11" t="s">
        <v>100</v>
      </c>
      <c r="I41" s="11" t="s">
        <v>106</v>
      </c>
      <c r="J41" s="11" t="s">
        <v>91</v>
      </c>
      <c r="K41" s="10" t="s">
        <v>279</v>
      </c>
      <c r="L41" s="10" t="s">
        <v>231</v>
      </c>
      <c r="M41" s="11" t="s">
        <v>94</v>
      </c>
    </row>
    <row r="42" customFormat="false" ht="23.85" hidden="false" customHeight="false" outlineLevel="0" collapsed="false">
      <c r="A42" s="10" t="s">
        <v>280</v>
      </c>
      <c r="B42" s="10" t="s">
        <v>227</v>
      </c>
      <c r="C42" s="10" t="s">
        <v>281</v>
      </c>
      <c r="D42" s="10" t="s">
        <v>282</v>
      </c>
      <c r="E42" s="10" t="s">
        <v>104</v>
      </c>
      <c r="F42" s="11" t="s">
        <v>105</v>
      </c>
      <c r="G42" s="11" t="n">
        <v>4</v>
      </c>
      <c r="H42" s="11" t="s">
        <v>100</v>
      </c>
      <c r="I42" s="11" t="s">
        <v>106</v>
      </c>
      <c r="J42" s="11" t="s">
        <v>91</v>
      </c>
      <c r="K42" s="10" t="s">
        <v>249</v>
      </c>
      <c r="L42" s="10" t="s">
        <v>231</v>
      </c>
      <c r="M42" s="11" t="s">
        <v>94</v>
      </c>
    </row>
    <row r="43" customFormat="false" ht="23.85" hidden="false" customHeight="false" outlineLevel="0" collapsed="false">
      <c r="A43" s="10" t="s">
        <v>283</v>
      </c>
      <c r="B43" s="10" t="s">
        <v>227</v>
      </c>
      <c r="C43" s="10" t="s">
        <v>284</v>
      </c>
      <c r="D43" s="10" t="s">
        <v>285</v>
      </c>
      <c r="E43" s="10" t="s">
        <v>104</v>
      </c>
      <c r="F43" s="11" t="s">
        <v>105</v>
      </c>
      <c r="G43" s="11" t="n">
        <v>4</v>
      </c>
      <c r="H43" s="11" t="s">
        <v>89</v>
      </c>
      <c r="I43" s="11" t="s">
        <v>106</v>
      </c>
      <c r="J43" s="11" t="s">
        <v>91</v>
      </c>
      <c r="K43" s="10" t="s">
        <v>249</v>
      </c>
      <c r="L43" s="10" t="s">
        <v>231</v>
      </c>
      <c r="M43" s="11" t="s">
        <v>94</v>
      </c>
    </row>
    <row r="44" customFormat="false" ht="23.85" hidden="false" customHeight="false" outlineLevel="0" collapsed="false">
      <c r="A44" s="10" t="s">
        <v>286</v>
      </c>
      <c r="B44" s="10" t="s">
        <v>227</v>
      </c>
      <c r="C44" s="10" t="s">
        <v>287</v>
      </c>
      <c r="D44" s="10" t="s">
        <v>288</v>
      </c>
      <c r="E44" s="10" t="s">
        <v>104</v>
      </c>
      <c r="F44" s="11" t="s">
        <v>105</v>
      </c>
      <c r="G44" s="11" t="n">
        <v>3</v>
      </c>
      <c r="H44" s="11" t="s">
        <v>143</v>
      </c>
      <c r="I44" s="11" t="s">
        <v>144</v>
      </c>
      <c r="J44" s="11" t="s">
        <v>91</v>
      </c>
      <c r="K44" s="10" t="s">
        <v>289</v>
      </c>
      <c r="L44" s="10" t="s">
        <v>231</v>
      </c>
      <c r="M44" s="11" t="s">
        <v>94</v>
      </c>
    </row>
    <row r="45" customFormat="false" ht="23.85" hidden="false" customHeight="false" outlineLevel="0" collapsed="false">
      <c r="A45" s="10" t="s">
        <v>290</v>
      </c>
      <c r="B45" s="10" t="s">
        <v>227</v>
      </c>
      <c r="C45" s="10" t="s">
        <v>291</v>
      </c>
      <c r="D45" s="10" t="s">
        <v>292</v>
      </c>
      <c r="E45" s="10" t="s">
        <v>104</v>
      </c>
      <c r="F45" s="11" t="s">
        <v>105</v>
      </c>
      <c r="G45" s="11" t="n">
        <v>3</v>
      </c>
      <c r="H45" s="11" t="s">
        <v>100</v>
      </c>
      <c r="I45" s="11" t="s">
        <v>106</v>
      </c>
      <c r="J45" s="11" t="s">
        <v>91</v>
      </c>
      <c r="K45" s="10" t="s">
        <v>293</v>
      </c>
      <c r="L45" s="10" t="s">
        <v>231</v>
      </c>
      <c r="M45" s="11" t="s">
        <v>94</v>
      </c>
    </row>
    <row r="46" customFormat="false" ht="23.85" hidden="false" customHeight="false" outlineLevel="0" collapsed="false">
      <c r="A46" s="10" t="s">
        <v>294</v>
      </c>
      <c r="B46" s="10" t="s">
        <v>227</v>
      </c>
      <c r="C46" s="10" t="s">
        <v>295</v>
      </c>
      <c r="D46" s="10" t="s">
        <v>296</v>
      </c>
      <c r="E46" s="10" t="s">
        <v>104</v>
      </c>
      <c r="F46" s="11" t="s">
        <v>105</v>
      </c>
      <c r="G46" s="11" t="n">
        <v>3</v>
      </c>
      <c r="H46" s="11" t="s">
        <v>143</v>
      </c>
      <c r="I46" s="11" t="s">
        <v>144</v>
      </c>
      <c r="J46" s="11" t="s">
        <v>91</v>
      </c>
      <c r="K46" s="10" t="s">
        <v>293</v>
      </c>
      <c r="L46" s="10" t="s">
        <v>231</v>
      </c>
      <c r="M46" s="11" t="s">
        <v>94</v>
      </c>
    </row>
    <row r="47" customFormat="false" ht="23.85" hidden="false" customHeight="false" outlineLevel="0" collapsed="false">
      <c r="A47" s="10" t="s">
        <v>297</v>
      </c>
      <c r="B47" s="10" t="s">
        <v>227</v>
      </c>
      <c r="C47" s="10" t="s">
        <v>298</v>
      </c>
      <c r="D47" s="10" t="s">
        <v>299</v>
      </c>
      <c r="E47" s="10" t="s">
        <v>104</v>
      </c>
      <c r="F47" s="11" t="s">
        <v>105</v>
      </c>
      <c r="G47" s="11" t="n">
        <v>3</v>
      </c>
      <c r="H47" s="11" t="s">
        <v>100</v>
      </c>
      <c r="I47" s="11" t="s">
        <v>90</v>
      </c>
      <c r="J47" s="11" t="s">
        <v>91</v>
      </c>
      <c r="K47" s="10" t="s">
        <v>300</v>
      </c>
      <c r="L47" s="10" t="s">
        <v>301</v>
      </c>
      <c r="M47" s="11" t="s">
        <v>94</v>
      </c>
    </row>
    <row r="48" customFormat="false" ht="23.85" hidden="false" customHeight="false" outlineLevel="0" collapsed="false">
      <c r="A48" s="10" t="s">
        <v>302</v>
      </c>
      <c r="B48" s="10" t="s">
        <v>227</v>
      </c>
      <c r="C48" s="10" t="s">
        <v>303</v>
      </c>
      <c r="D48" s="10" t="s">
        <v>304</v>
      </c>
      <c r="E48" s="10" t="s">
        <v>104</v>
      </c>
      <c r="F48" s="11" t="s">
        <v>105</v>
      </c>
      <c r="G48" s="11" t="n">
        <v>3</v>
      </c>
      <c r="H48" s="11" t="s">
        <v>241</v>
      </c>
      <c r="I48" s="11" t="s">
        <v>90</v>
      </c>
      <c r="J48" s="11" t="s">
        <v>91</v>
      </c>
      <c r="K48" s="10" t="s">
        <v>305</v>
      </c>
      <c r="L48" s="10" t="s">
        <v>306</v>
      </c>
      <c r="M48" s="11" t="s">
        <v>94</v>
      </c>
    </row>
    <row r="49" customFormat="false" ht="23.85" hidden="false" customHeight="false" outlineLevel="0" collapsed="false">
      <c r="A49" s="10" t="s">
        <v>307</v>
      </c>
      <c r="B49" s="10" t="s">
        <v>227</v>
      </c>
      <c r="C49" s="10" t="s">
        <v>308</v>
      </c>
      <c r="D49" s="10" t="s">
        <v>309</v>
      </c>
      <c r="E49" s="10" t="s">
        <v>104</v>
      </c>
      <c r="F49" s="11" t="s">
        <v>105</v>
      </c>
      <c r="G49" s="11" t="n">
        <v>4</v>
      </c>
      <c r="H49" s="11" t="s">
        <v>143</v>
      </c>
      <c r="I49" s="11" t="s">
        <v>106</v>
      </c>
      <c r="J49" s="11" t="s">
        <v>91</v>
      </c>
      <c r="K49" s="10" t="s">
        <v>305</v>
      </c>
      <c r="L49" s="10" t="s">
        <v>310</v>
      </c>
      <c r="M49" s="11" t="s">
        <v>94</v>
      </c>
    </row>
    <row r="50" customFormat="false" ht="23.85" hidden="false" customHeight="false" outlineLevel="0" collapsed="false">
      <c r="A50" s="10" t="s">
        <v>311</v>
      </c>
      <c r="B50" s="10" t="s">
        <v>227</v>
      </c>
      <c r="C50" s="10" t="s">
        <v>312</v>
      </c>
      <c r="D50" s="10" t="s">
        <v>313</v>
      </c>
      <c r="E50" s="10" t="s">
        <v>314</v>
      </c>
      <c r="F50" s="11" t="s">
        <v>99</v>
      </c>
      <c r="G50" s="11" t="n">
        <v>4</v>
      </c>
      <c r="H50" s="11" t="s">
        <v>100</v>
      </c>
      <c r="I50" s="11" t="s">
        <v>106</v>
      </c>
      <c r="J50" s="11" t="s">
        <v>91</v>
      </c>
      <c r="K50" s="10" t="s">
        <v>177</v>
      </c>
      <c r="L50" s="10" t="s">
        <v>315</v>
      </c>
      <c r="M50" s="11" t="s">
        <v>157</v>
      </c>
    </row>
    <row r="51" customFormat="false" ht="23.85" hidden="false" customHeight="false" outlineLevel="0" collapsed="false">
      <c r="A51" s="10" t="s">
        <v>316</v>
      </c>
      <c r="B51" s="10" t="s">
        <v>227</v>
      </c>
      <c r="C51" s="10" t="s">
        <v>317</v>
      </c>
      <c r="D51" s="10" t="s">
        <v>318</v>
      </c>
      <c r="E51" s="10" t="s">
        <v>319</v>
      </c>
      <c r="F51" s="11" t="s">
        <v>99</v>
      </c>
      <c r="G51" s="11" t="n">
        <v>3</v>
      </c>
      <c r="H51" s="11" t="s">
        <v>89</v>
      </c>
      <c r="I51" s="11" t="s">
        <v>106</v>
      </c>
      <c r="J51" s="11" t="s">
        <v>320</v>
      </c>
      <c r="K51" s="10" t="s">
        <v>321</v>
      </c>
      <c r="L51" s="10" t="s">
        <v>322</v>
      </c>
      <c r="M51" s="11" t="s">
        <v>157</v>
      </c>
    </row>
    <row r="52" customFormat="false" ht="23.85" hidden="false" customHeight="false" outlineLevel="0" collapsed="false">
      <c r="A52" s="10" t="s">
        <v>323</v>
      </c>
      <c r="B52" s="10" t="s">
        <v>227</v>
      </c>
      <c r="C52" s="10" t="s">
        <v>324</v>
      </c>
      <c r="D52" s="10" t="s">
        <v>325</v>
      </c>
      <c r="E52" s="10" t="s">
        <v>319</v>
      </c>
      <c r="F52" s="11" t="s">
        <v>99</v>
      </c>
      <c r="G52" s="11" t="n">
        <v>4</v>
      </c>
      <c r="H52" s="11" t="s">
        <v>89</v>
      </c>
      <c r="I52" s="11" t="s">
        <v>106</v>
      </c>
      <c r="J52" s="11" t="s">
        <v>155</v>
      </c>
      <c r="K52" s="10" t="s">
        <v>177</v>
      </c>
      <c r="L52" s="10" t="s">
        <v>231</v>
      </c>
      <c r="M52" s="11" t="s">
        <v>157</v>
      </c>
    </row>
    <row r="53" customFormat="false" ht="23.85" hidden="false" customHeight="false" outlineLevel="0" collapsed="false">
      <c r="A53" s="10" t="s">
        <v>326</v>
      </c>
      <c r="B53" s="10" t="s">
        <v>327</v>
      </c>
      <c r="C53" s="10" t="s">
        <v>328</v>
      </c>
      <c r="D53" s="10" t="s">
        <v>329</v>
      </c>
      <c r="E53" s="10" t="s">
        <v>330</v>
      </c>
      <c r="F53" s="11" t="s">
        <v>99</v>
      </c>
      <c r="G53" s="11" t="n">
        <v>3</v>
      </c>
      <c r="H53" s="11" t="s">
        <v>100</v>
      </c>
      <c r="I53" s="11" t="s">
        <v>90</v>
      </c>
      <c r="J53" s="11" t="s">
        <v>91</v>
      </c>
      <c r="K53" s="10" t="s">
        <v>139</v>
      </c>
      <c r="L53" s="10" t="s">
        <v>331</v>
      </c>
      <c r="M53" s="11" t="s">
        <v>94</v>
      </c>
    </row>
    <row r="54" customFormat="false" ht="23.85" hidden="false" customHeight="false" outlineLevel="0" collapsed="false">
      <c r="A54" s="10" t="s">
        <v>332</v>
      </c>
      <c r="B54" s="10" t="s">
        <v>327</v>
      </c>
      <c r="C54" s="10" t="s">
        <v>333</v>
      </c>
      <c r="D54" s="10" t="s">
        <v>334</v>
      </c>
      <c r="E54" s="10" t="s">
        <v>335</v>
      </c>
      <c r="F54" s="11" t="s">
        <v>99</v>
      </c>
      <c r="G54" s="11" t="n">
        <v>4</v>
      </c>
      <c r="H54" s="11" t="s">
        <v>100</v>
      </c>
      <c r="I54" s="11" t="s">
        <v>90</v>
      </c>
      <c r="J54" s="11" t="s">
        <v>91</v>
      </c>
      <c r="K54" s="10" t="s">
        <v>123</v>
      </c>
      <c r="L54" s="10" t="s">
        <v>336</v>
      </c>
      <c r="M54" s="11" t="s">
        <v>94</v>
      </c>
    </row>
    <row r="55" customFormat="false" ht="23.85" hidden="false" customHeight="false" outlineLevel="0" collapsed="false">
      <c r="A55" s="10" t="s">
        <v>337</v>
      </c>
      <c r="B55" s="10" t="s">
        <v>327</v>
      </c>
      <c r="C55" s="10" t="s">
        <v>338</v>
      </c>
      <c r="D55" s="10" t="s">
        <v>339</v>
      </c>
      <c r="E55" s="10" t="s">
        <v>340</v>
      </c>
      <c r="F55" s="11" t="s">
        <v>99</v>
      </c>
      <c r="G55" s="11" t="n">
        <v>4</v>
      </c>
      <c r="H55" s="11" t="s">
        <v>100</v>
      </c>
      <c r="I55" s="11" t="s">
        <v>90</v>
      </c>
      <c r="J55" s="11" t="s">
        <v>91</v>
      </c>
      <c r="K55" s="10" t="s">
        <v>123</v>
      </c>
      <c r="L55" s="10" t="s">
        <v>336</v>
      </c>
      <c r="M55" s="11" t="s">
        <v>94</v>
      </c>
    </row>
    <row r="56" customFormat="false" ht="23.85" hidden="false" customHeight="false" outlineLevel="0" collapsed="false">
      <c r="A56" s="10" t="s">
        <v>341</v>
      </c>
      <c r="B56" s="10" t="s">
        <v>327</v>
      </c>
      <c r="C56" s="10" t="s">
        <v>342</v>
      </c>
      <c r="D56" s="10" t="s">
        <v>343</v>
      </c>
      <c r="E56" s="10" t="s">
        <v>344</v>
      </c>
      <c r="F56" s="11" t="s">
        <v>88</v>
      </c>
      <c r="G56" s="11" t="n">
        <v>3</v>
      </c>
      <c r="H56" s="11" t="s">
        <v>89</v>
      </c>
      <c r="I56" s="11" t="s">
        <v>90</v>
      </c>
      <c r="J56" s="11" t="s">
        <v>91</v>
      </c>
      <c r="K56" s="10" t="s">
        <v>123</v>
      </c>
      <c r="L56" s="10" t="s">
        <v>336</v>
      </c>
      <c r="M56" s="11" t="s">
        <v>94</v>
      </c>
    </row>
    <row r="57" customFormat="false" ht="23.85" hidden="false" customHeight="false" outlineLevel="0" collapsed="false">
      <c r="A57" s="10" t="s">
        <v>345</v>
      </c>
      <c r="B57" s="10" t="s">
        <v>327</v>
      </c>
      <c r="C57" s="10" t="s">
        <v>346</v>
      </c>
      <c r="D57" s="10" t="s">
        <v>347</v>
      </c>
      <c r="E57" s="10" t="s">
        <v>348</v>
      </c>
      <c r="F57" s="11" t="s">
        <v>88</v>
      </c>
      <c r="G57" s="11" t="n">
        <v>4</v>
      </c>
      <c r="H57" s="11" t="s">
        <v>100</v>
      </c>
      <c r="I57" s="11" t="s">
        <v>90</v>
      </c>
      <c r="J57" s="11" t="s">
        <v>91</v>
      </c>
      <c r="K57" s="10" t="s">
        <v>123</v>
      </c>
      <c r="L57" s="10" t="s">
        <v>336</v>
      </c>
      <c r="M57" s="11" t="s">
        <v>94</v>
      </c>
    </row>
    <row r="58" customFormat="false" ht="23.85" hidden="false" customHeight="false" outlineLevel="0" collapsed="false">
      <c r="A58" s="10" t="s">
        <v>349</v>
      </c>
      <c r="B58" s="10" t="s">
        <v>327</v>
      </c>
      <c r="C58" s="10" t="s">
        <v>350</v>
      </c>
      <c r="D58" s="10" t="s">
        <v>351</v>
      </c>
      <c r="E58" s="10" t="s">
        <v>352</v>
      </c>
      <c r="F58" s="11" t="s">
        <v>99</v>
      </c>
      <c r="G58" s="11" t="n">
        <v>4</v>
      </c>
      <c r="H58" s="11" t="s">
        <v>100</v>
      </c>
      <c r="I58" s="11" t="s">
        <v>90</v>
      </c>
      <c r="J58" s="11" t="s">
        <v>91</v>
      </c>
      <c r="K58" s="10" t="s">
        <v>150</v>
      </c>
      <c r="L58" s="10" t="s">
        <v>336</v>
      </c>
      <c r="M58" s="11" t="s">
        <v>94</v>
      </c>
    </row>
    <row r="59" customFormat="false" ht="23.85" hidden="false" customHeight="false" outlineLevel="0" collapsed="false">
      <c r="A59" s="10" t="s">
        <v>353</v>
      </c>
      <c r="B59" s="10" t="s">
        <v>327</v>
      </c>
      <c r="C59" s="10" t="s">
        <v>354</v>
      </c>
      <c r="D59" s="10" t="s">
        <v>355</v>
      </c>
      <c r="E59" s="10" t="s">
        <v>356</v>
      </c>
      <c r="F59" s="11" t="s">
        <v>99</v>
      </c>
      <c r="G59" s="11" t="n">
        <v>4</v>
      </c>
      <c r="H59" s="11" t="s">
        <v>100</v>
      </c>
      <c r="I59" s="11" t="s">
        <v>90</v>
      </c>
      <c r="J59" s="11" t="s">
        <v>91</v>
      </c>
      <c r="K59" s="10" t="s">
        <v>357</v>
      </c>
      <c r="L59" s="10" t="s">
        <v>336</v>
      </c>
      <c r="M59" s="11" t="s">
        <v>94</v>
      </c>
    </row>
    <row r="60" customFormat="false" ht="23.85" hidden="false" customHeight="false" outlineLevel="0" collapsed="false">
      <c r="A60" s="10" t="s">
        <v>358</v>
      </c>
      <c r="B60" s="10" t="s">
        <v>327</v>
      </c>
      <c r="C60" s="10" t="s">
        <v>359</v>
      </c>
      <c r="D60" s="10" t="s">
        <v>360</v>
      </c>
      <c r="E60" s="10" t="s">
        <v>361</v>
      </c>
      <c r="F60" s="11" t="s">
        <v>88</v>
      </c>
      <c r="G60" s="11" t="n">
        <v>3</v>
      </c>
      <c r="H60" s="11" t="s">
        <v>89</v>
      </c>
      <c r="I60" s="11" t="s">
        <v>90</v>
      </c>
      <c r="J60" s="11" t="s">
        <v>91</v>
      </c>
      <c r="K60" s="10" t="s">
        <v>362</v>
      </c>
      <c r="L60" s="10" t="s">
        <v>336</v>
      </c>
      <c r="M60" s="11" t="s">
        <v>94</v>
      </c>
    </row>
    <row r="61" customFormat="false" ht="23.85" hidden="false" customHeight="false" outlineLevel="0" collapsed="false">
      <c r="A61" s="10" t="s">
        <v>363</v>
      </c>
      <c r="B61" s="10" t="s">
        <v>327</v>
      </c>
      <c r="C61" s="10" t="s">
        <v>364</v>
      </c>
      <c r="D61" s="10" t="s">
        <v>365</v>
      </c>
      <c r="E61" s="10" t="s">
        <v>366</v>
      </c>
      <c r="F61" s="11" t="s">
        <v>88</v>
      </c>
      <c r="G61" s="11" t="n">
        <v>2</v>
      </c>
      <c r="H61" s="11" t="s">
        <v>89</v>
      </c>
      <c r="I61" s="11" t="s">
        <v>106</v>
      </c>
      <c r="J61" s="11" t="s">
        <v>91</v>
      </c>
      <c r="K61" s="10" t="s">
        <v>150</v>
      </c>
      <c r="L61" s="10" t="s">
        <v>331</v>
      </c>
      <c r="M61" s="11" t="s">
        <v>94</v>
      </c>
    </row>
    <row r="62" customFormat="false" ht="23.85" hidden="false" customHeight="false" outlineLevel="0" collapsed="false">
      <c r="A62" s="10" t="s">
        <v>367</v>
      </c>
      <c r="B62" s="10" t="s">
        <v>327</v>
      </c>
      <c r="C62" s="10" t="s">
        <v>368</v>
      </c>
      <c r="D62" s="10" t="s">
        <v>369</v>
      </c>
      <c r="E62" s="10" t="s">
        <v>104</v>
      </c>
      <c r="F62" s="11" t="s">
        <v>105</v>
      </c>
      <c r="G62" s="11" t="n">
        <v>3</v>
      </c>
      <c r="H62" s="11" t="s">
        <v>100</v>
      </c>
      <c r="I62" s="11" t="s">
        <v>106</v>
      </c>
      <c r="J62" s="11" t="s">
        <v>91</v>
      </c>
      <c r="K62" s="10" t="s">
        <v>370</v>
      </c>
      <c r="L62" s="10" t="s">
        <v>331</v>
      </c>
      <c r="M62" s="11" t="s">
        <v>94</v>
      </c>
    </row>
    <row r="63" customFormat="false" ht="23.85" hidden="false" customHeight="false" outlineLevel="0" collapsed="false">
      <c r="A63" s="10" t="s">
        <v>371</v>
      </c>
      <c r="B63" s="10" t="s">
        <v>327</v>
      </c>
      <c r="C63" s="10" t="s">
        <v>372</v>
      </c>
      <c r="D63" s="10" t="s">
        <v>373</v>
      </c>
      <c r="E63" s="10" t="s">
        <v>104</v>
      </c>
      <c r="F63" s="11" t="s">
        <v>105</v>
      </c>
      <c r="G63" s="11" t="n">
        <v>4</v>
      </c>
      <c r="H63" s="11" t="s">
        <v>100</v>
      </c>
      <c r="I63" s="11" t="s">
        <v>106</v>
      </c>
      <c r="J63" s="11" t="s">
        <v>91</v>
      </c>
      <c r="K63" s="10" t="s">
        <v>374</v>
      </c>
      <c r="L63" s="10" t="s">
        <v>336</v>
      </c>
      <c r="M63" s="11" t="s">
        <v>94</v>
      </c>
    </row>
    <row r="64" customFormat="false" ht="23.85" hidden="false" customHeight="false" outlineLevel="0" collapsed="false">
      <c r="A64" s="10" t="s">
        <v>375</v>
      </c>
      <c r="B64" s="10" t="s">
        <v>327</v>
      </c>
      <c r="C64" s="10" t="s">
        <v>376</v>
      </c>
      <c r="D64" s="10" t="s">
        <v>377</v>
      </c>
      <c r="E64" s="10" t="s">
        <v>378</v>
      </c>
      <c r="F64" s="11" t="s">
        <v>105</v>
      </c>
      <c r="G64" s="11" t="n">
        <v>4</v>
      </c>
      <c r="H64" s="11" t="s">
        <v>100</v>
      </c>
      <c r="I64" s="11" t="s">
        <v>106</v>
      </c>
      <c r="J64" s="11" t="s">
        <v>91</v>
      </c>
      <c r="K64" s="10" t="s">
        <v>379</v>
      </c>
      <c r="L64" s="10" t="s">
        <v>336</v>
      </c>
      <c r="M64" s="11" t="s">
        <v>94</v>
      </c>
    </row>
    <row r="65" customFormat="false" ht="23.85" hidden="false" customHeight="false" outlineLevel="0" collapsed="false">
      <c r="A65" s="10" t="s">
        <v>380</v>
      </c>
      <c r="B65" s="10" t="s">
        <v>327</v>
      </c>
      <c r="C65" s="10" t="s">
        <v>381</v>
      </c>
      <c r="D65" s="10" t="s">
        <v>382</v>
      </c>
      <c r="E65" s="10" t="s">
        <v>383</v>
      </c>
      <c r="F65" s="11" t="s">
        <v>88</v>
      </c>
      <c r="G65" s="11" t="n">
        <v>3</v>
      </c>
      <c r="H65" s="11" t="s">
        <v>100</v>
      </c>
      <c r="I65" s="11" t="s">
        <v>106</v>
      </c>
      <c r="J65" s="11" t="s">
        <v>91</v>
      </c>
      <c r="K65" s="10" t="s">
        <v>145</v>
      </c>
      <c r="L65" s="10" t="s">
        <v>331</v>
      </c>
      <c r="M65" s="11" t="s">
        <v>94</v>
      </c>
    </row>
    <row r="66" customFormat="false" ht="23.85" hidden="false" customHeight="false" outlineLevel="0" collapsed="false">
      <c r="A66" s="10" t="s">
        <v>384</v>
      </c>
      <c r="B66" s="10" t="s">
        <v>327</v>
      </c>
      <c r="C66" s="10" t="s">
        <v>385</v>
      </c>
      <c r="D66" s="10" t="s">
        <v>386</v>
      </c>
      <c r="E66" s="10" t="s">
        <v>387</v>
      </c>
      <c r="F66" s="11" t="s">
        <v>99</v>
      </c>
      <c r="G66" s="11" t="n">
        <v>5</v>
      </c>
      <c r="H66" s="11" t="s">
        <v>143</v>
      </c>
      <c r="I66" s="11" t="s">
        <v>106</v>
      </c>
      <c r="J66" s="11" t="s">
        <v>91</v>
      </c>
      <c r="K66" s="10" t="s">
        <v>236</v>
      </c>
      <c r="L66" s="10" t="s">
        <v>336</v>
      </c>
      <c r="M66" s="11" t="s">
        <v>94</v>
      </c>
    </row>
    <row r="67" customFormat="false" ht="23.85" hidden="false" customHeight="false" outlineLevel="0" collapsed="false">
      <c r="A67" s="10" t="s">
        <v>388</v>
      </c>
      <c r="B67" s="10" t="s">
        <v>327</v>
      </c>
      <c r="C67" s="10" t="s">
        <v>389</v>
      </c>
      <c r="D67" s="10" t="s">
        <v>390</v>
      </c>
      <c r="E67" s="10" t="s">
        <v>391</v>
      </c>
      <c r="F67" s="11" t="s">
        <v>99</v>
      </c>
      <c r="G67" s="11" t="n">
        <v>3</v>
      </c>
      <c r="H67" s="11" t="s">
        <v>100</v>
      </c>
      <c r="I67" s="11" t="s">
        <v>106</v>
      </c>
      <c r="J67" s="11" t="s">
        <v>91</v>
      </c>
      <c r="K67" s="10" t="s">
        <v>236</v>
      </c>
      <c r="L67" s="10" t="s">
        <v>336</v>
      </c>
      <c r="M67" s="11" t="s">
        <v>94</v>
      </c>
    </row>
    <row r="68" customFormat="false" ht="23.85" hidden="false" customHeight="false" outlineLevel="0" collapsed="false">
      <c r="A68" s="10" t="s">
        <v>392</v>
      </c>
      <c r="B68" s="10" t="s">
        <v>327</v>
      </c>
      <c r="C68" s="10" t="s">
        <v>393</v>
      </c>
      <c r="D68" s="10" t="s">
        <v>394</v>
      </c>
      <c r="E68" s="10" t="s">
        <v>395</v>
      </c>
      <c r="F68" s="11" t="s">
        <v>99</v>
      </c>
      <c r="G68" s="11" t="n">
        <v>3</v>
      </c>
      <c r="H68" s="11" t="s">
        <v>100</v>
      </c>
      <c r="I68" s="11" t="s">
        <v>106</v>
      </c>
      <c r="J68" s="11" t="s">
        <v>91</v>
      </c>
      <c r="K68" s="10" t="s">
        <v>236</v>
      </c>
      <c r="L68" s="10" t="s">
        <v>336</v>
      </c>
      <c r="M68" s="11" t="s">
        <v>94</v>
      </c>
    </row>
    <row r="69" customFormat="false" ht="23.85" hidden="false" customHeight="false" outlineLevel="0" collapsed="false">
      <c r="A69" s="10" t="s">
        <v>396</v>
      </c>
      <c r="B69" s="10" t="s">
        <v>327</v>
      </c>
      <c r="C69" s="10" t="s">
        <v>397</v>
      </c>
      <c r="D69" s="10" t="s">
        <v>398</v>
      </c>
      <c r="E69" s="10" t="s">
        <v>399</v>
      </c>
      <c r="F69" s="11" t="s">
        <v>99</v>
      </c>
      <c r="G69" s="11" t="n">
        <v>4</v>
      </c>
      <c r="H69" s="11" t="s">
        <v>143</v>
      </c>
      <c r="I69" s="11" t="s">
        <v>106</v>
      </c>
      <c r="J69" s="11" t="s">
        <v>91</v>
      </c>
      <c r="K69" s="10" t="s">
        <v>374</v>
      </c>
      <c r="L69" s="10" t="s">
        <v>336</v>
      </c>
      <c r="M69" s="11" t="s">
        <v>94</v>
      </c>
    </row>
    <row r="70" customFormat="false" ht="23.85" hidden="false" customHeight="false" outlineLevel="0" collapsed="false">
      <c r="A70" s="10" t="s">
        <v>400</v>
      </c>
      <c r="B70" s="10" t="s">
        <v>327</v>
      </c>
      <c r="C70" s="10" t="s">
        <v>401</v>
      </c>
      <c r="D70" s="10" t="s">
        <v>402</v>
      </c>
      <c r="E70" s="10" t="s">
        <v>403</v>
      </c>
      <c r="F70" s="11" t="s">
        <v>105</v>
      </c>
      <c r="G70" s="11" t="n">
        <v>3</v>
      </c>
      <c r="H70" s="11" t="s">
        <v>100</v>
      </c>
      <c r="I70" s="11" t="s">
        <v>106</v>
      </c>
      <c r="J70" s="11" t="s">
        <v>91</v>
      </c>
      <c r="K70" s="10" t="s">
        <v>374</v>
      </c>
      <c r="L70" s="10" t="s">
        <v>336</v>
      </c>
      <c r="M70" s="11" t="s">
        <v>94</v>
      </c>
    </row>
    <row r="71" customFormat="false" ht="23.85" hidden="false" customHeight="false" outlineLevel="0" collapsed="false">
      <c r="A71" s="10" t="s">
        <v>404</v>
      </c>
      <c r="B71" s="10" t="s">
        <v>327</v>
      </c>
      <c r="C71" s="10" t="s">
        <v>405</v>
      </c>
      <c r="D71" s="10" t="s">
        <v>406</v>
      </c>
      <c r="E71" s="10" t="s">
        <v>407</v>
      </c>
      <c r="F71" s="11" t="s">
        <v>105</v>
      </c>
      <c r="G71" s="11" t="n">
        <v>5</v>
      </c>
      <c r="H71" s="11" t="s">
        <v>100</v>
      </c>
      <c r="I71" s="11" t="s">
        <v>106</v>
      </c>
      <c r="J71" s="11" t="s">
        <v>91</v>
      </c>
      <c r="K71" s="10" t="s">
        <v>374</v>
      </c>
      <c r="L71" s="10" t="s">
        <v>336</v>
      </c>
      <c r="M71" s="11" t="s">
        <v>94</v>
      </c>
    </row>
    <row r="72" customFormat="false" ht="23.85" hidden="false" customHeight="false" outlineLevel="0" collapsed="false">
      <c r="A72" s="10" t="s">
        <v>408</v>
      </c>
      <c r="B72" s="10" t="s">
        <v>327</v>
      </c>
      <c r="C72" s="10" t="s">
        <v>409</v>
      </c>
      <c r="D72" s="10" t="s">
        <v>410</v>
      </c>
      <c r="E72" s="10" t="s">
        <v>403</v>
      </c>
      <c r="F72" s="11" t="s">
        <v>105</v>
      </c>
      <c r="G72" s="11" t="n">
        <v>3</v>
      </c>
      <c r="H72" s="11" t="s">
        <v>100</v>
      </c>
      <c r="I72" s="11" t="s">
        <v>106</v>
      </c>
      <c r="J72" s="11" t="s">
        <v>91</v>
      </c>
      <c r="K72" s="10" t="s">
        <v>236</v>
      </c>
      <c r="L72" s="10" t="s">
        <v>336</v>
      </c>
      <c r="M72" s="11" t="s">
        <v>94</v>
      </c>
    </row>
    <row r="73" customFormat="false" ht="23.85" hidden="false" customHeight="false" outlineLevel="0" collapsed="false">
      <c r="A73" s="10" t="s">
        <v>411</v>
      </c>
      <c r="B73" s="10" t="s">
        <v>327</v>
      </c>
      <c r="C73" s="10" t="s">
        <v>412</v>
      </c>
      <c r="D73" s="10" t="s">
        <v>413</v>
      </c>
      <c r="E73" s="10" t="s">
        <v>403</v>
      </c>
      <c r="F73" s="11" t="s">
        <v>105</v>
      </c>
      <c r="G73" s="11" t="n">
        <v>3</v>
      </c>
      <c r="H73" s="11" t="s">
        <v>100</v>
      </c>
      <c r="I73" s="11" t="s">
        <v>106</v>
      </c>
      <c r="J73" s="11" t="s">
        <v>91</v>
      </c>
      <c r="K73" s="10" t="s">
        <v>374</v>
      </c>
      <c r="L73" s="10" t="s">
        <v>336</v>
      </c>
      <c r="M73" s="11" t="s">
        <v>94</v>
      </c>
    </row>
    <row r="74" customFormat="false" ht="23.85" hidden="false" customHeight="false" outlineLevel="0" collapsed="false">
      <c r="A74" s="10" t="s">
        <v>414</v>
      </c>
      <c r="B74" s="10" t="s">
        <v>327</v>
      </c>
      <c r="C74" s="10" t="s">
        <v>415</v>
      </c>
      <c r="D74" s="10" t="s">
        <v>416</v>
      </c>
      <c r="E74" s="10" t="s">
        <v>403</v>
      </c>
      <c r="F74" s="11" t="s">
        <v>105</v>
      </c>
      <c r="G74" s="11" t="n">
        <v>3</v>
      </c>
      <c r="H74" s="11" t="s">
        <v>89</v>
      </c>
      <c r="I74" s="11" t="s">
        <v>106</v>
      </c>
      <c r="J74" s="11" t="s">
        <v>91</v>
      </c>
      <c r="K74" s="10" t="s">
        <v>145</v>
      </c>
      <c r="L74" s="10" t="s">
        <v>336</v>
      </c>
      <c r="M74" s="11" t="s">
        <v>94</v>
      </c>
    </row>
    <row r="75" customFormat="false" ht="15" hidden="false" customHeight="false" outlineLevel="0" collapsed="false">
      <c r="A75" s="10" t="s">
        <v>417</v>
      </c>
      <c r="B75" s="10" t="s">
        <v>327</v>
      </c>
      <c r="C75" s="10" t="s">
        <v>418</v>
      </c>
      <c r="D75" s="10" t="s">
        <v>419</v>
      </c>
      <c r="E75" s="10" t="s">
        <v>403</v>
      </c>
      <c r="F75" s="11" t="s">
        <v>105</v>
      </c>
      <c r="G75" s="11" t="n">
        <v>2</v>
      </c>
      <c r="H75" s="11" t="s">
        <v>89</v>
      </c>
      <c r="I75" s="11" t="s">
        <v>106</v>
      </c>
      <c r="J75" s="11" t="s">
        <v>91</v>
      </c>
      <c r="K75" s="10" t="s">
        <v>374</v>
      </c>
      <c r="L75" s="10" t="s">
        <v>331</v>
      </c>
      <c r="M75" s="11" t="s">
        <v>94</v>
      </c>
    </row>
    <row r="76" customFormat="false" ht="23.85" hidden="false" customHeight="false" outlineLevel="0" collapsed="false">
      <c r="A76" s="10" t="s">
        <v>420</v>
      </c>
      <c r="B76" s="10" t="s">
        <v>327</v>
      </c>
      <c r="C76" s="10" t="s">
        <v>421</v>
      </c>
      <c r="D76" s="10" t="s">
        <v>422</v>
      </c>
      <c r="E76" s="10" t="s">
        <v>423</v>
      </c>
      <c r="F76" s="11" t="s">
        <v>99</v>
      </c>
      <c r="G76" s="11" t="n">
        <v>3</v>
      </c>
      <c r="H76" s="11" t="s">
        <v>143</v>
      </c>
      <c r="I76" s="11" t="s">
        <v>144</v>
      </c>
      <c r="J76" s="11" t="s">
        <v>91</v>
      </c>
      <c r="K76" s="10" t="s">
        <v>145</v>
      </c>
      <c r="L76" s="10" t="s">
        <v>336</v>
      </c>
      <c r="M76" s="11" t="s">
        <v>94</v>
      </c>
    </row>
    <row r="77" customFormat="false" ht="23.85" hidden="false" customHeight="false" outlineLevel="0" collapsed="false">
      <c r="A77" s="10" t="s">
        <v>424</v>
      </c>
      <c r="B77" s="10" t="s">
        <v>327</v>
      </c>
      <c r="C77" s="10" t="s">
        <v>425</v>
      </c>
      <c r="D77" s="10" t="s">
        <v>426</v>
      </c>
      <c r="E77" s="10" t="s">
        <v>403</v>
      </c>
      <c r="F77" s="11" t="s">
        <v>105</v>
      </c>
      <c r="G77" s="11" t="n">
        <v>3</v>
      </c>
      <c r="H77" s="11" t="s">
        <v>100</v>
      </c>
      <c r="I77" s="11" t="s">
        <v>144</v>
      </c>
      <c r="J77" s="11" t="s">
        <v>91</v>
      </c>
      <c r="K77" s="10" t="s">
        <v>145</v>
      </c>
      <c r="L77" s="10" t="s">
        <v>336</v>
      </c>
      <c r="M77" s="11" t="s">
        <v>94</v>
      </c>
    </row>
    <row r="78" customFormat="false" ht="23.85" hidden="false" customHeight="false" outlineLevel="0" collapsed="false">
      <c r="A78" s="10" t="s">
        <v>427</v>
      </c>
      <c r="B78" s="10" t="s">
        <v>327</v>
      </c>
      <c r="C78" s="10" t="s">
        <v>428</v>
      </c>
      <c r="D78" s="10" t="s">
        <v>429</v>
      </c>
      <c r="E78" s="10" t="s">
        <v>403</v>
      </c>
      <c r="F78" s="11" t="s">
        <v>105</v>
      </c>
      <c r="G78" s="11" t="n">
        <v>3</v>
      </c>
      <c r="H78" s="11" t="s">
        <v>100</v>
      </c>
      <c r="I78" s="11" t="s">
        <v>144</v>
      </c>
      <c r="J78" s="11" t="s">
        <v>91</v>
      </c>
      <c r="K78" s="10" t="s">
        <v>430</v>
      </c>
      <c r="L78" s="10" t="s">
        <v>336</v>
      </c>
      <c r="M78" s="11" t="s">
        <v>94</v>
      </c>
    </row>
    <row r="79" customFormat="false" ht="23.85" hidden="false" customHeight="false" outlineLevel="0" collapsed="false">
      <c r="A79" s="10" t="s">
        <v>431</v>
      </c>
      <c r="B79" s="10" t="s">
        <v>327</v>
      </c>
      <c r="C79" s="10" t="s">
        <v>432</v>
      </c>
      <c r="D79" s="10" t="s">
        <v>433</v>
      </c>
      <c r="E79" s="10" t="s">
        <v>403</v>
      </c>
      <c r="F79" s="11" t="s">
        <v>105</v>
      </c>
      <c r="G79" s="11" t="n">
        <v>3</v>
      </c>
      <c r="H79" s="11" t="s">
        <v>89</v>
      </c>
      <c r="I79" s="11" t="s">
        <v>144</v>
      </c>
      <c r="J79" s="11" t="s">
        <v>91</v>
      </c>
      <c r="K79" s="10" t="s">
        <v>434</v>
      </c>
      <c r="L79" s="10" t="s">
        <v>336</v>
      </c>
      <c r="M79" s="11" t="s">
        <v>94</v>
      </c>
    </row>
    <row r="80" customFormat="false" ht="23.85" hidden="false" customHeight="false" outlineLevel="0" collapsed="false">
      <c r="A80" s="10" t="s">
        <v>435</v>
      </c>
      <c r="B80" s="10" t="s">
        <v>327</v>
      </c>
      <c r="C80" s="10" t="s">
        <v>436</v>
      </c>
      <c r="D80" s="10" t="s">
        <v>437</v>
      </c>
      <c r="E80" s="10" t="s">
        <v>403</v>
      </c>
      <c r="F80" s="11" t="s">
        <v>105</v>
      </c>
      <c r="G80" s="11" t="n">
        <v>3</v>
      </c>
      <c r="H80" s="11" t="s">
        <v>89</v>
      </c>
      <c r="I80" s="11" t="s">
        <v>144</v>
      </c>
      <c r="J80" s="11" t="s">
        <v>91</v>
      </c>
      <c r="K80" s="10" t="s">
        <v>374</v>
      </c>
      <c r="L80" s="10" t="s">
        <v>336</v>
      </c>
      <c r="M80" s="11" t="s">
        <v>94</v>
      </c>
    </row>
    <row r="81" customFormat="false" ht="23.85" hidden="false" customHeight="false" outlineLevel="0" collapsed="false">
      <c r="A81" s="10" t="s">
        <v>438</v>
      </c>
      <c r="B81" s="10" t="s">
        <v>327</v>
      </c>
      <c r="C81" s="10" t="s">
        <v>439</v>
      </c>
      <c r="D81" s="10" t="s">
        <v>440</v>
      </c>
      <c r="E81" s="10" t="s">
        <v>154</v>
      </c>
      <c r="F81" s="11" t="s">
        <v>105</v>
      </c>
      <c r="G81" s="11" t="n">
        <v>2</v>
      </c>
      <c r="H81" s="11" t="s">
        <v>100</v>
      </c>
      <c r="I81" s="11" t="s">
        <v>172</v>
      </c>
      <c r="J81" s="11" t="s">
        <v>176</v>
      </c>
      <c r="K81" s="10" t="s">
        <v>177</v>
      </c>
      <c r="L81" s="10" t="s">
        <v>336</v>
      </c>
      <c r="M81" s="11" t="s">
        <v>157</v>
      </c>
    </row>
    <row r="82" customFormat="false" ht="15" hidden="false" customHeight="false" outlineLevel="0" collapsed="false">
      <c r="A82" s="10" t="s">
        <v>441</v>
      </c>
      <c r="B82" s="10" t="s">
        <v>442</v>
      </c>
      <c r="C82" s="10" t="s">
        <v>443</v>
      </c>
      <c r="D82" s="10" t="s">
        <v>444</v>
      </c>
      <c r="E82" s="10" t="s">
        <v>403</v>
      </c>
      <c r="F82" s="11" t="s">
        <v>105</v>
      </c>
      <c r="G82" s="11" t="n">
        <v>2</v>
      </c>
      <c r="H82" s="11" t="s">
        <v>89</v>
      </c>
      <c r="I82" s="11" t="s">
        <v>106</v>
      </c>
      <c r="J82" s="11" t="s">
        <v>91</v>
      </c>
      <c r="K82" s="10" t="s">
        <v>236</v>
      </c>
      <c r="L82" s="10" t="s">
        <v>445</v>
      </c>
      <c r="M82" s="11" t="s">
        <v>94</v>
      </c>
    </row>
    <row r="83" customFormat="false" ht="23.85" hidden="false" customHeight="false" outlineLevel="0" collapsed="false">
      <c r="A83" s="10" t="s">
        <v>446</v>
      </c>
      <c r="B83" s="10" t="s">
        <v>442</v>
      </c>
      <c r="C83" s="10" t="s">
        <v>447</v>
      </c>
      <c r="D83" s="10" t="s">
        <v>448</v>
      </c>
      <c r="E83" s="10" t="s">
        <v>449</v>
      </c>
      <c r="F83" s="11" t="s">
        <v>99</v>
      </c>
      <c r="G83" s="11" t="n">
        <v>4</v>
      </c>
      <c r="H83" s="11" t="s">
        <v>100</v>
      </c>
      <c r="I83" s="11" t="s">
        <v>90</v>
      </c>
      <c r="J83" s="11" t="s">
        <v>91</v>
      </c>
      <c r="K83" s="10" t="s">
        <v>123</v>
      </c>
      <c r="L83" s="10" t="s">
        <v>450</v>
      </c>
      <c r="M83" s="11" t="s">
        <v>94</v>
      </c>
    </row>
    <row r="84" customFormat="false" ht="23.85" hidden="false" customHeight="false" outlineLevel="0" collapsed="false">
      <c r="A84" s="10" t="s">
        <v>451</v>
      </c>
      <c r="B84" s="10" t="s">
        <v>442</v>
      </c>
      <c r="C84" s="10" t="s">
        <v>452</v>
      </c>
      <c r="D84" s="10" t="s">
        <v>453</v>
      </c>
      <c r="E84" s="10" t="s">
        <v>454</v>
      </c>
      <c r="F84" s="11" t="s">
        <v>88</v>
      </c>
      <c r="G84" s="11" t="n">
        <v>4</v>
      </c>
      <c r="H84" s="11" t="s">
        <v>89</v>
      </c>
      <c r="I84" s="11" t="s">
        <v>90</v>
      </c>
      <c r="J84" s="11" t="s">
        <v>91</v>
      </c>
      <c r="K84" s="10" t="s">
        <v>455</v>
      </c>
      <c r="L84" s="10" t="s">
        <v>450</v>
      </c>
      <c r="M84" s="11" t="s">
        <v>94</v>
      </c>
    </row>
    <row r="85" customFormat="false" ht="23.85" hidden="false" customHeight="false" outlineLevel="0" collapsed="false">
      <c r="A85" s="10" t="s">
        <v>456</v>
      </c>
      <c r="B85" s="10" t="s">
        <v>442</v>
      </c>
      <c r="C85" s="10" t="s">
        <v>457</v>
      </c>
      <c r="D85" s="10" t="s">
        <v>458</v>
      </c>
      <c r="E85" s="10" t="s">
        <v>459</v>
      </c>
      <c r="F85" s="11" t="s">
        <v>99</v>
      </c>
      <c r="G85" s="11" t="n">
        <v>5</v>
      </c>
      <c r="H85" s="11" t="s">
        <v>143</v>
      </c>
      <c r="I85" s="11" t="s">
        <v>90</v>
      </c>
      <c r="J85" s="11" t="s">
        <v>91</v>
      </c>
      <c r="K85" s="10" t="s">
        <v>460</v>
      </c>
      <c r="L85" s="10" t="s">
        <v>450</v>
      </c>
      <c r="M85" s="11" t="s">
        <v>94</v>
      </c>
    </row>
    <row r="86" customFormat="false" ht="23.85" hidden="false" customHeight="false" outlineLevel="0" collapsed="false">
      <c r="A86" s="10" t="s">
        <v>461</v>
      </c>
      <c r="B86" s="10" t="s">
        <v>442</v>
      </c>
      <c r="C86" s="10" t="s">
        <v>462</v>
      </c>
      <c r="D86" s="10" t="s">
        <v>463</v>
      </c>
      <c r="E86" s="10" t="s">
        <v>464</v>
      </c>
      <c r="F86" s="11" t="s">
        <v>99</v>
      </c>
      <c r="G86" s="11" t="n">
        <v>5</v>
      </c>
      <c r="H86" s="11" t="s">
        <v>100</v>
      </c>
      <c r="I86" s="11" t="s">
        <v>90</v>
      </c>
      <c r="J86" s="11" t="s">
        <v>91</v>
      </c>
      <c r="K86" s="10" t="s">
        <v>123</v>
      </c>
      <c r="L86" s="10" t="s">
        <v>450</v>
      </c>
      <c r="M86" s="11" t="s">
        <v>94</v>
      </c>
    </row>
    <row r="87" customFormat="false" ht="23.85" hidden="false" customHeight="false" outlineLevel="0" collapsed="false">
      <c r="A87" s="10" t="s">
        <v>465</v>
      </c>
      <c r="B87" s="10" t="s">
        <v>442</v>
      </c>
      <c r="C87" s="10" t="s">
        <v>466</v>
      </c>
      <c r="D87" s="10" t="s">
        <v>467</v>
      </c>
      <c r="E87" s="10" t="s">
        <v>468</v>
      </c>
      <c r="F87" s="11" t="s">
        <v>99</v>
      </c>
      <c r="G87" s="11" t="n">
        <v>4</v>
      </c>
      <c r="H87" s="11" t="s">
        <v>89</v>
      </c>
      <c r="I87" s="11" t="s">
        <v>90</v>
      </c>
      <c r="J87" s="11" t="s">
        <v>91</v>
      </c>
      <c r="K87" s="10" t="s">
        <v>374</v>
      </c>
      <c r="L87" s="10" t="s">
        <v>450</v>
      </c>
      <c r="M87" s="11" t="s">
        <v>94</v>
      </c>
    </row>
    <row r="88" customFormat="false" ht="23.85" hidden="false" customHeight="false" outlineLevel="0" collapsed="false">
      <c r="A88" s="10" t="s">
        <v>469</v>
      </c>
      <c r="B88" s="10" t="s">
        <v>442</v>
      </c>
      <c r="C88" s="10" t="s">
        <v>470</v>
      </c>
      <c r="D88" s="10" t="s">
        <v>471</v>
      </c>
      <c r="E88" s="10" t="s">
        <v>472</v>
      </c>
      <c r="F88" s="11" t="s">
        <v>99</v>
      </c>
      <c r="G88" s="11" t="n">
        <v>4</v>
      </c>
      <c r="H88" s="11" t="s">
        <v>100</v>
      </c>
      <c r="I88" s="11" t="s">
        <v>106</v>
      </c>
      <c r="J88" s="11" t="s">
        <v>91</v>
      </c>
      <c r="K88" s="10" t="s">
        <v>473</v>
      </c>
      <c r="L88" s="10" t="s">
        <v>445</v>
      </c>
      <c r="M88" s="11" t="s">
        <v>94</v>
      </c>
    </row>
    <row r="89" customFormat="false" ht="23.85" hidden="false" customHeight="false" outlineLevel="0" collapsed="false">
      <c r="A89" s="10" t="s">
        <v>474</v>
      </c>
      <c r="B89" s="10" t="s">
        <v>442</v>
      </c>
      <c r="C89" s="10" t="s">
        <v>475</v>
      </c>
      <c r="D89" s="10" t="s">
        <v>476</v>
      </c>
      <c r="E89" s="10" t="s">
        <v>477</v>
      </c>
      <c r="F89" s="11" t="s">
        <v>99</v>
      </c>
      <c r="G89" s="11" t="n">
        <v>4</v>
      </c>
      <c r="H89" s="11" t="s">
        <v>100</v>
      </c>
      <c r="I89" s="11" t="s">
        <v>106</v>
      </c>
      <c r="J89" s="11" t="s">
        <v>91</v>
      </c>
      <c r="K89" s="10" t="s">
        <v>123</v>
      </c>
      <c r="L89" s="10" t="s">
        <v>450</v>
      </c>
      <c r="M89" s="11" t="s">
        <v>94</v>
      </c>
    </row>
    <row r="90" customFormat="false" ht="23.85" hidden="false" customHeight="false" outlineLevel="0" collapsed="false">
      <c r="A90" s="10" t="s">
        <v>478</v>
      </c>
      <c r="B90" s="10" t="s">
        <v>442</v>
      </c>
      <c r="C90" s="10" t="s">
        <v>479</v>
      </c>
      <c r="D90" s="10" t="s">
        <v>480</v>
      </c>
      <c r="E90" s="10" t="s">
        <v>481</v>
      </c>
      <c r="F90" s="11" t="s">
        <v>99</v>
      </c>
      <c r="G90" s="11" t="n">
        <v>4</v>
      </c>
      <c r="H90" s="11" t="s">
        <v>100</v>
      </c>
      <c r="I90" s="11" t="s">
        <v>106</v>
      </c>
      <c r="J90" s="11" t="s">
        <v>91</v>
      </c>
      <c r="K90" s="10" t="s">
        <v>150</v>
      </c>
      <c r="L90" s="10" t="s">
        <v>450</v>
      </c>
      <c r="M90" s="11" t="s">
        <v>94</v>
      </c>
    </row>
    <row r="91" customFormat="false" ht="23.85" hidden="false" customHeight="false" outlineLevel="0" collapsed="false">
      <c r="A91" s="10" t="s">
        <v>482</v>
      </c>
      <c r="B91" s="10" t="s">
        <v>442</v>
      </c>
      <c r="C91" s="10" t="s">
        <v>483</v>
      </c>
      <c r="D91" s="10" t="s">
        <v>484</v>
      </c>
      <c r="E91" s="10" t="s">
        <v>485</v>
      </c>
      <c r="F91" s="11" t="s">
        <v>99</v>
      </c>
      <c r="G91" s="11" t="n">
        <v>3</v>
      </c>
      <c r="H91" s="11" t="s">
        <v>100</v>
      </c>
      <c r="I91" s="11" t="s">
        <v>106</v>
      </c>
      <c r="J91" s="11" t="s">
        <v>91</v>
      </c>
      <c r="K91" s="10" t="s">
        <v>486</v>
      </c>
      <c r="L91" s="10" t="s">
        <v>450</v>
      </c>
      <c r="M91" s="11" t="s">
        <v>94</v>
      </c>
    </row>
    <row r="92" customFormat="false" ht="23.85" hidden="false" customHeight="false" outlineLevel="0" collapsed="false">
      <c r="A92" s="10" t="s">
        <v>487</v>
      </c>
      <c r="B92" s="10" t="s">
        <v>442</v>
      </c>
      <c r="C92" s="10" t="s">
        <v>488</v>
      </c>
      <c r="D92" s="10" t="s">
        <v>489</v>
      </c>
      <c r="E92" s="10" t="s">
        <v>403</v>
      </c>
      <c r="F92" s="11" t="s">
        <v>105</v>
      </c>
      <c r="G92" s="11" t="n">
        <v>2</v>
      </c>
      <c r="H92" s="11" t="s">
        <v>89</v>
      </c>
      <c r="I92" s="11" t="s">
        <v>106</v>
      </c>
      <c r="J92" s="11" t="s">
        <v>91</v>
      </c>
      <c r="K92" s="10" t="s">
        <v>145</v>
      </c>
      <c r="L92" s="10" t="s">
        <v>445</v>
      </c>
      <c r="M92" s="11" t="s">
        <v>94</v>
      </c>
    </row>
    <row r="93" customFormat="false" ht="23.85" hidden="false" customHeight="false" outlineLevel="0" collapsed="false">
      <c r="A93" s="10" t="s">
        <v>490</v>
      </c>
      <c r="B93" s="10" t="s">
        <v>442</v>
      </c>
      <c r="C93" s="10" t="s">
        <v>491</v>
      </c>
      <c r="D93" s="10" t="s">
        <v>492</v>
      </c>
      <c r="E93" s="10" t="s">
        <v>493</v>
      </c>
      <c r="F93" s="11" t="s">
        <v>99</v>
      </c>
      <c r="G93" s="11" t="n">
        <v>3</v>
      </c>
      <c r="H93" s="11" t="s">
        <v>89</v>
      </c>
      <c r="I93" s="11" t="s">
        <v>106</v>
      </c>
      <c r="J93" s="11" t="s">
        <v>91</v>
      </c>
      <c r="K93" s="10" t="s">
        <v>123</v>
      </c>
      <c r="L93" s="10" t="s">
        <v>445</v>
      </c>
      <c r="M93" s="11" t="s">
        <v>94</v>
      </c>
    </row>
    <row r="94" customFormat="false" ht="15" hidden="false" customHeight="false" outlineLevel="0" collapsed="false">
      <c r="A94" s="10" t="s">
        <v>494</v>
      </c>
      <c r="B94" s="10" t="s">
        <v>442</v>
      </c>
      <c r="C94" s="10" t="s">
        <v>495</v>
      </c>
      <c r="D94" s="10" t="s">
        <v>496</v>
      </c>
      <c r="E94" s="10" t="s">
        <v>403</v>
      </c>
      <c r="F94" s="11" t="s">
        <v>105</v>
      </c>
      <c r="G94" s="11" t="n">
        <v>3</v>
      </c>
      <c r="H94" s="11" t="s">
        <v>89</v>
      </c>
      <c r="I94" s="11" t="s">
        <v>106</v>
      </c>
      <c r="J94" s="11" t="s">
        <v>91</v>
      </c>
      <c r="K94" s="10" t="s">
        <v>374</v>
      </c>
      <c r="L94" s="10" t="s">
        <v>445</v>
      </c>
      <c r="M94" s="11" t="s">
        <v>94</v>
      </c>
    </row>
    <row r="95" customFormat="false" ht="23.85" hidden="false" customHeight="false" outlineLevel="0" collapsed="false">
      <c r="A95" s="10" t="s">
        <v>497</v>
      </c>
      <c r="B95" s="10" t="s">
        <v>442</v>
      </c>
      <c r="C95" s="10" t="s">
        <v>498</v>
      </c>
      <c r="D95" s="10" t="s">
        <v>499</v>
      </c>
      <c r="E95" s="10" t="s">
        <v>403</v>
      </c>
      <c r="F95" s="11" t="s">
        <v>105</v>
      </c>
      <c r="G95" s="11" t="n">
        <v>2</v>
      </c>
      <c r="H95" s="11" t="s">
        <v>89</v>
      </c>
      <c r="I95" s="11" t="s">
        <v>106</v>
      </c>
      <c r="J95" s="11" t="s">
        <v>91</v>
      </c>
      <c r="K95" s="10" t="s">
        <v>455</v>
      </c>
      <c r="L95" s="10" t="s">
        <v>445</v>
      </c>
      <c r="M95" s="11" t="s">
        <v>94</v>
      </c>
    </row>
    <row r="96" customFormat="false" ht="23.85" hidden="false" customHeight="false" outlineLevel="0" collapsed="false">
      <c r="A96" s="10" t="s">
        <v>500</v>
      </c>
      <c r="B96" s="10" t="s">
        <v>442</v>
      </c>
      <c r="C96" s="10" t="s">
        <v>501</v>
      </c>
      <c r="D96" s="10" t="s">
        <v>502</v>
      </c>
      <c r="E96" s="10" t="s">
        <v>503</v>
      </c>
      <c r="F96" s="11" t="s">
        <v>99</v>
      </c>
      <c r="G96" s="11" t="n">
        <v>4</v>
      </c>
      <c r="H96" s="11" t="s">
        <v>143</v>
      </c>
      <c r="I96" s="11" t="s">
        <v>106</v>
      </c>
      <c r="J96" s="11" t="s">
        <v>91</v>
      </c>
      <c r="K96" s="10" t="s">
        <v>504</v>
      </c>
      <c r="L96" s="10" t="s">
        <v>450</v>
      </c>
      <c r="M96" s="11" t="s">
        <v>94</v>
      </c>
    </row>
    <row r="97" customFormat="false" ht="23.85" hidden="false" customHeight="false" outlineLevel="0" collapsed="false">
      <c r="A97" s="10" t="s">
        <v>505</v>
      </c>
      <c r="B97" s="10" t="s">
        <v>442</v>
      </c>
      <c r="C97" s="10" t="s">
        <v>506</v>
      </c>
      <c r="D97" s="10" t="s">
        <v>507</v>
      </c>
      <c r="E97" s="10" t="s">
        <v>508</v>
      </c>
      <c r="F97" s="11" t="s">
        <v>99</v>
      </c>
      <c r="G97" s="11" t="n">
        <v>4</v>
      </c>
      <c r="H97" s="11" t="s">
        <v>143</v>
      </c>
      <c r="I97" s="11" t="s">
        <v>106</v>
      </c>
      <c r="J97" s="11" t="s">
        <v>91</v>
      </c>
      <c r="K97" s="10" t="s">
        <v>504</v>
      </c>
      <c r="L97" s="10" t="s">
        <v>450</v>
      </c>
      <c r="M97" s="11" t="s">
        <v>94</v>
      </c>
    </row>
    <row r="98" customFormat="false" ht="23.85" hidden="false" customHeight="false" outlineLevel="0" collapsed="false">
      <c r="A98" s="10" t="s">
        <v>509</v>
      </c>
      <c r="B98" s="10" t="s">
        <v>442</v>
      </c>
      <c r="C98" s="10" t="s">
        <v>510</v>
      </c>
      <c r="D98" s="10" t="s">
        <v>511</v>
      </c>
      <c r="E98" s="10" t="s">
        <v>512</v>
      </c>
      <c r="F98" s="11" t="s">
        <v>99</v>
      </c>
      <c r="G98" s="11" t="n">
        <v>4</v>
      </c>
      <c r="H98" s="11" t="s">
        <v>143</v>
      </c>
      <c r="I98" s="11" t="s">
        <v>106</v>
      </c>
      <c r="J98" s="11" t="s">
        <v>91</v>
      </c>
      <c r="K98" s="10" t="s">
        <v>513</v>
      </c>
      <c r="L98" s="10" t="s">
        <v>450</v>
      </c>
      <c r="M98" s="11" t="s">
        <v>94</v>
      </c>
    </row>
    <row r="99" customFormat="false" ht="23.85" hidden="false" customHeight="false" outlineLevel="0" collapsed="false">
      <c r="A99" s="10" t="s">
        <v>514</v>
      </c>
      <c r="B99" s="10" t="s">
        <v>442</v>
      </c>
      <c r="C99" s="10" t="s">
        <v>515</v>
      </c>
      <c r="D99" s="10" t="s">
        <v>516</v>
      </c>
      <c r="E99" s="10" t="s">
        <v>517</v>
      </c>
      <c r="F99" s="11" t="s">
        <v>99</v>
      </c>
      <c r="G99" s="11" t="n">
        <v>3</v>
      </c>
      <c r="H99" s="11" t="s">
        <v>100</v>
      </c>
      <c r="I99" s="11" t="s">
        <v>106</v>
      </c>
      <c r="J99" s="11" t="s">
        <v>91</v>
      </c>
      <c r="K99" s="10" t="s">
        <v>518</v>
      </c>
      <c r="L99" s="10" t="s">
        <v>450</v>
      </c>
      <c r="M99" s="11" t="s">
        <v>94</v>
      </c>
    </row>
    <row r="100" customFormat="false" ht="23.85" hidden="false" customHeight="false" outlineLevel="0" collapsed="false">
      <c r="A100" s="10" t="s">
        <v>519</v>
      </c>
      <c r="B100" s="10" t="s">
        <v>442</v>
      </c>
      <c r="C100" s="10" t="s">
        <v>520</v>
      </c>
      <c r="D100" s="10" t="s">
        <v>521</v>
      </c>
      <c r="E100" s="10" t="s">
        <v>522</v>
      </c>
      <c r="F100" s="11" t="s">
        <v>99</v>
      </c>
      <c r="G100" s="11" t="n">
        <v>4</v>
      </c>
      <c r="H100" s="11" t="s">
        <v>143</v>
      </c>
      <c r="I100" s="11" t="s">
        <v>106</v>
      </c>
      <c r="J100" s="11" t="s">
        <v>91</v>
      </c>
      <c r="K100" s="10" t="s">
        <v>523</v>
      </c>
      <c r="L100" s="10" t="s">
        <v>450</v>
      </c>
      <c r="M100" s="11" t="s">
        <v>94</v>
      </c>
    </row>
    <row r="101" customFormat="false" ht="23.85" hidden="false" customHeight="false" outlineLevel="0" collapsed="false">
      <c r="A101" s="10" t="s">
        <v>524</v>
      </c>
      <c r="B101" s="10" t="s">
        <v>442</v>
      </c>
      <c r="C101" s="10" t="s">
        <v>525</v>
      </c>
      <c r="D101" s="10" t="s">
        <v>526</v>
      </c>
      <c r="E101" s="10" t="s">
        <v>527</v>
      </c>
      <c r="F101" s="11" t="s">
        <v>99</v>
      </c>
      <c r="G101" s="11" t="n">
        <v>3</v>
      </c>
      <c r="H101" s="11" t="s">
        <v>100</v>
      </c>
      <c r="I101" s="11" t="s">
        <v>106</v>
      </c>
      <c r="J101" s="11" t="s">
        <v>91</v>
      </c>
      <c r="K101" s="10" t="s">
        <v>528</v>
      </c>
      <c r="L101" s="10" t="s">
        <v>450</v>
      </c>
      <c r="M101" s="11" t="s">
        <v>94</v>
      </c>
    </row>
    <row r="102" customFormat="false" ht="23.85" hidden="false" customHeight="false" outlineLevel="0" collapsed="false">
      <c r="A102" s="10" t="s">
        <v>529</v>
      </c>
      <c r="B102" s="10" t="s">
        <v>442</v>
      </c>
      <c r="C102" s="10" t="s">
        <v>530</v>
      </c>
      <c r="D102" s="10" t="s">
        <v>531</v>
      </c>
      <c r="E102" s="10" t="s">
        <v>532</v>
      </c>
      <c r="F102" s="11" t="s">
        <v>99</v>
      </c>
      <c r="G102" s="11" t="n">
        <v>4</v>
      </c>
      <c r="H102" s="11" t="s">
        <v>143</v>
      </c>
      <c r="I102" s="11" t="s">
        <v>106</v>
      </c>
      <c r="J102" s="11" t="s">
        <v>91</v>
      </c>
      <c r="K102" s="10" t="s">
        <v>533</v>
      </c>
      <c r="L102" s="10" t="s">
        <v>450</v>
      </c>
      <c r="M102" s="11" t="s">
        <v>94</v>
      </c>
    </row>
    <row r="103" customFormat="false" ht="23.85" hidden="false" customHeight="false" outlineLevel="0" collapsed="false">
      <c r="A103" s="10" t="s">
        <v>534</v>
      </c>
      <c r="B103" s="10" t="s">
        <v>442</v>
      </c>
      <c r="C103" s="10" t="s">
        <v>535</v>
      </c>
      <c r="D103" s="10" t="s">
        <v>536</v>
      </c>
      <c r="E103" s="10" t="s">
        <v>532</v>
      </c>
      <c r="F103" s="11" t="s">
        <v>99</v>
      </c>
      <c r="G103" s="11" t="n">
        <v>4</v>
      </c>
      <c r="H103" s="11" t="s">
        <v>143</v>
      </c>
      <c r="I103" s="11" t="s">
        <v>106</v>
      </c>
      <c r="J103" s="11" t="s">
        <v>91</v>
      </c>
      <c r="K103" s="10" t="s">
        <v>533</v>
      </c>
      <c r="L103" s="10" t="s">
        <v>450</v>
      </c>
      <c r="M103" s="11" t="s">
        <v>94</v>
      </c>
    </row>
    <row r="104" customFormat="false" ht="23.85" hidden="false" customHeight="false" outlineLevel="0" collapsed="false">
      <c r="A104" s="10" t="s">
        <v>537</v>
      </c>
      <c r="B104" s="10" t="s">
        <v>442</v>
      </c>
      <c r="C104" s="10" t="s">
        <v>538</v>
      </c>
      <c r="D104" s="10" t="s">
        <v>539</v>
      </c>
      <c r="E104" s="10" t="s">
        <v>532</v>
      </c>
      <c r="F104" s="11" t="s">
        <v>99</v>
      </c>
      <c r="G104" s="11" t="n">
        <v>4</v>
      </c>
      <c r="H104" s="11" t="s">
        <v>143</v>
      </c>
      <c r="I104" s="11" t="s">
        <v>106</v>
      </c>
      <c r="J104" s="11" t="s">
        <v>91</v>
      </c>
      <c r="K104" s="10" t="s">
        <v>540</v>
      </c>
      <c r="L104" s="10" t="s">
        <v>450</v>
      </c>
      <c r="M104" s="11" t="s">
        <v>94</v>
      </c>
    </row>
    <row r="105" customFormat="false" ht="23.85" hidden="false" customHeight="false" outlineLevel="0" collapsed="false">
      <c r="A105" s="10" t="s">
        <v>541</v>
      </c>
      <c r="B105" s="10" t="s">
        <v>442</v>
      </c>
      <c r="C105" s="10" t="s">
        <v>542</v>
      </c>
      <c r="D105" s="10" t="s">
        <v>543</v>
      </c>
      <c r="E105" s="10" t="s">
        <v>532</v>
      </c>
      <c r="F105" s="11" t="s">
        <v>99</v>
      </c>
      <c r="G105" s="11" t="n">
        <v>3</v>
      </c>
      <c r="H105" s="11" t="s">
        <v>100</v>
      </c>
      <c r="I105" s="11" t="s">
        <v>106</v>
      </c>
      <c r="J105" s="11" t="s">
        <v>91</v>
      </c>
      <c r="K105" s="10" t="s">
        <v>544</v>
      </c>
      <c r="L105" s="10" t="s">
        <v>450</v>
      </c>
      <c r="M105" s="11" t="s">
        <v>94</v>
      </c>
    </row>
    <row r="106" customFormat="false" ht="23.85" hidden="false" customHeight="false" outlineLevel="0" collapsed="false">
      <c r="A106" s="10" t="s">
        <v>545</v>
      </c>
      <c r="B106" s="10" t="s">
        <v>442</v>
      </c>
      <c r="C106" s="10" t="s">
        <v>546</v>
      </c>
      <c r="D106" s="10" t="s">
        <v>547</v>
      </c>
      <c r="E106" s="10" t="s">
        <v>548</v>
      </c>
      <c r="F106" s="11" t="s">
        <v>99</v>
      </c>
      <c r="G106" s="11" t="n">
        <v>4</v>
      </c>
      <c r="H106" s="11" t="s">
        <v>100</v>
      </c>
      <c r="I106" s="11" t="s">
        <v>106</v>
      </c>
      <c r="J106" s="11" t="s">
        <v>91</v>
      </c>
      <c r="K106" s="10" t="s">
        <v>518</v>
      </c>
      <c r="L106" s="10" t="s">
        <v>450</v>
      </c>
      <c r="M106" s="11" t="s">
        <v>94</v>
      </c>
    </row>
    <row r="107" customFormat="false" ht="23.85" hidden="false" customHeight="false" outlineLevel="0" collapsed="false">
      <c r="A107" s="10" t="s">
        <v>549</v>
      </c>
      <c r="B107" s="10" t="s">
        <v>442</v>
      </c>
      <c r="C107" s="10" t="s">
        <v>550</v>
      </c>
      <c r="D107" s="10" t="s">
        <v>551</v>
      </c>
      <c r="E107" s="10" t="s">
        <v>403</v>
      </c>
      <c r="F107" s="11" t="s">
        <v>105</v>
      </c>
      <c r="G107" s="11" t="n">
        <v>3</v>
      </c>
      <c r="H107" s="11" t="s">
        <v>100</v>
      </c>
      <c r="I107" s="11" t="s">
        <v>106</v>
      </c>
      <c r="J107" s="11" t="s">
        <v>91</v>
      </c>
      <c r="K107" s="10" t="s">
        <v>236</v>
      </c>
      <c r="L107" s="10" t="s">
        <v>450</v>
      </c>
      <c r="M107" s="11" t="s">
        <v>94</v>
      </c>
    </row>
    <row r="108" customFormat="false" ht="23.85" hidden="false" customHeight="false" outlineLevel="0" collapsed="false">
      <c r="A108" s="10" t="s">
        <v>552</v>
      </c>
      <c r="B108" s="10" t="s">
        <v>442</v>
      </c>
      <c r="C108" s="10" t="s">
        <v>553</v>
      </c>
      <c r="D108" s="10" t="s">
        <v>554</v>
      </c>
      <c r="E108" s="10" t="s">
        <v>555</v>
      </c>
      <c r="F108" s="11" t="s">
        <v>99</v>
      </c>
      <c r="G108" s="11" t="n">
        <v>4</v>
      </c>
      <c r="H108" s="11" t="s">
        <v>100</v>
      </c>
      <c r="I108" s="11" t="s">
        <v>106</v>
      </c>
      <c r="J108" s="11" t="s">
        <v>91</v>
      </c>
      <c r="K108" s="10" t="s">
        <v>236</v>
      </c>
      <c r="L108" s="10" t="s">
        <v>450</v>
      </c>
      <c r="M108" s="11" t="s">
        <v>94</v>
      </c>
    </row>
    <row r="109" customFormat="false" ht="23.85" hidden="false" customHeight="false" outlineLevel="0" collapsed="false">
      <c r="A109" s="10" t="s">
        <v>556</v>
      </c>
      <c r="B109" s="10" t="s">
        <v>442</v>
      </c>
      <c r="C109" s="10" t="s">
        <v>557</v>
      </c>
      <c r="D109" s="10" t="s">
        <v>558</v>
      </c>
      <c r="E109" s="10" t="s">
        <v>559</v>
      </c>
      <c r="F109" s="11" t="s">
        <v>99</v>
      </c>
      <c r="G109" s="11" t="n">
        <v>2</v>
      </c>
      <c r="H109" s="11" t="s">
        <v>89</v>
      </c>
      <c r="I109" s="11" t="s">
        <v>106</v>
      </c>
      <c r="J109" s="11" t="s">
        <v>91</v>
      </c>
      <c r="K109" s="10" t="s">
        <v>533</v>
      </c>
      <c r="L109" s="10" t="s">
        <v>450</v>
      </c>
      <c r="M109" s="11" t="s">
        <v>94</v>
      </c>
    </row>
    <row r="110" customFormat="false" ht="23.85" hidden="false" customHeight="false" outlineLevel="0" collapsed="false">
      <c r="A110" s="10" t="s">
        <v>560</v>
      </c>
      <c r="B110" s="10" t="s">
        <v>442</v>
      </c>
      <c r="C110" s="10" t="s">
        <v>561</v>
      </c>
      <c r="D110" s="10" t="s">
        <v>562</v>
      </c>
      <c r="E110" s="10" t="s">
        <v>563</v>
      </c>
      <c r="F110" s="11" t="s">
        <v>99</v>
      </c>
      <c r="G110" s="11" t="n">
        <v>3</v>
      </c>
      <c r="H110" s="11" t="s">
        <v>100</v>
      </c>
      <c r="I110" s="11" t="s">
        <v>144</v>
      </c>
      <c r="J110" s="11" t="s">
        <v>91</v>
      </c>
      <c r="K110" s="10" t="s">
        <v>145</v>
      </c>
      <c r="L110" s="10" t="s">
        <v>450</v>
      </c>
      <c r="M110" s="11" t="s">
        <v>94</v>
      </c>
    </row>
    <row r="111" customFormat="false" ht="23.85" hidden="false" customHeight="false" outlineLevel="0" collapsed="false">
      <c r="A111" s="10" t="s">
        <v>564</v>
      </c>
      <c r="B111" s="10" t="s">
        <v>442</v>
      </c>
      <c r="C111" s="10" t="s">
        <v>565</v>
      </c>
      <c r="D111" s="10" t="s">
        <v>566</v>
      </c>
      <c r="E111" s="10" t="s">
        <v>567</v>
      </c>
      <c r="F111" s="11" t="s">
        <v>99</v>
      </c>
      <c r="G111" s="11" t="n">
        <v>4</v>
      </c>
      <c r="H111" s="11" t="s">
        <v>100</v>
      </c>
      <c r="I111" s="11" t="s">
        <v>144</v>
      </c>
      <c r="J111" s="11" t="s">
        <v>91</v>
      </c>
      <c r="K111" s="10" t="s">
        <v>455</v>
      </c>
      <c r="L111" s="10" t="s">
        <v>450</v>
      </c>
      <c r="M111" s="11" t="s">
        <v>94</v>
      </c>
    </row>
    <row r="112" customFormat="false" ht="23.85" hidden="false" customHeight="false" outlineLevel="0" collapsed="false">
      <c r="A112" s="10" t="s">
        <v>568</v>
      </c>
      <c r="B112" s="10" t="s">
        <v>442</v>
      </c>
      <c r="C112" s="10" t="s">
        <v>569</v>
      </c>
      <c r="D112" s="10" t="s">
        <v>570</v>
      </c>
      <c r="E112" s="10" t="s">
        <v>571</v>
      </c>
      <c r="F112" s="11" t="s">
        <v>99</v>
      </c>
      <c r="G112" s="11" t="n">
        <v>4</v>
      </c>
      <c r="H112" s="11" t="s">
        <v>143</v>
      </c>
      <c r="I112" s="11" t="s">
        <v>144</v>
      </c>
      <c r="J112" s="11" t="s">
        <v>91</v>
      </c>
      <c r="K112" s="10" t="s">
        <v>362</v>
      </c>
      <c r="L112" s="10" t="s">
        <v>450</v>
      </c>
      <c r="M112" s="11" t="s">
        <v>94</v>
      </c>
    </row>
    <row r="113" customFormat="false" ht="23.85" hidden="false" customHeight="false" outlineLevel="0" collapsed="false">
      <c r="A113" s="10" t="s">
        <v>572</v>
      </c>
      <c r="B113" s="10" t="s">
        <v>442</v>
      </c>
      <c r="C113" s="10" t="s">
        <v>573</v>
      </c>
      <c r="D113" s="10" t="s">
        <v>574</v>
      </c>
      <c r="E113" s="10" t="s">
        <v>575</v>
      </c>
      <c r="F113" s="11" t="s">
        <v>99</v>
      </c>
      <c r="G113" s="11" t="n">
        <v>3</v>
      </c>
      <c r="H113" s="11" t="s">
        <v>100</v>
      </c>
      <c r="I113" s="11" t="s">
        <v>144</v>
      </c>
      <c r="J113" s="11" t="s">
        <v>91</v>
      </c>
      <c r="K113" s="10" t="s">
        <v>576</v>
      </c>
      <c r="L113" s="10" t="s">
        <v>450</v>
      </c>
      <c r="M113" s="11" t="s">
        <v>94</v>
      </c>
    </row>
    <row r="114" customFormat="false" ht="23.85" hidden="false" customHeight="false" outlineLevel="0" collapsed="false">
      <c r="A114" s="10" t="s">
        <v>577</v>
      </c>
      <c r="B114" s="10" t="s">
        <v>442</v>
      </c>
      <c r="C114" s="10" t="s">
        <v>578</v>
      </c>
      <c r="D114" s="10" t="s">
        <v>579</v>
      </c>
      <c r="E114" s="10" t="s">
        <v>580</v>
      </c>
      <c r="F114" s="11" t="s">
        <v>99</v>
      </c>
      <c r="G114" s="11" t="n">
        <v>4</v>
      </c>
      <c r="H114" s="11" t="s">
        <v>143</v>
      </c>
      <c r="I114" s="11" t="s">
        <v>144</v>
      </c>
      <c r="J114" s="11" t="s">
        <v>91</v>
      </c>
      <c r="K114" s="10" t="s">
        <v>501</v>
      </c>
      <c r="L114" s="10" t="s">
        <v>450</v>
      </c>
      <c r="M114" s="11" t="s">
        <v>94</v>
      </c>
    </row>
    <row r="115" customFormat="false" ht="23.85" hidden="false" customHeight="false" outlineLevel="0" collapsed="false">
      <c r="A115" s="10" t="s">
        <v>581</v>
      </c>
      <c r="B115" s="10" t="s">
        <v>442</v>
      </c>
      <c r="C115" s="10" t="s">
        <v>582</v>
      </c>
      <c r="D115" s="10" t="s">
        <v>583</v>
      </c>
      <c r="E115" s="10" t="s">
        <v>584</v>
      </c>
      <c r="F115" s="11" t="s">
        <v>99</v>
      </c>
      <c r="G115" s="11" t="n">
        <v>3</v>
      </c>
      <c r="H115" s="11" t="s">
        <v>100</v>
      </c>
      <c r="I115" s="11" t="s">
        <v>144</v>
      </c>
      <c r="J115" s="11" t="s">
        <v>91</v>
      </c>
      <c r="K115" s="10" t="s">
        <v>540</v>
      </c>
      <c r="L115" s="10" t="s">
        <v>450</v>
      </c>
      <c r="M115" s="11" t="s">
        <v>94</v>
      </c>
    </row>
    <row r="116" customFormat="false" ht="23.85" hidden="false" customHeight="false" outlineLevel="0" collapsed="false">
      <c r="A116" s="10" t="s">
        <v>585</v>
      </c>
      <c r="B116" s="10" t="s">
        <v>442</v>
      </c>
      <c r="C116" s="10" t="s">
        <v>586</v>
      </c>
      <c r="D116" s="10" t="s">
        <v>587</v>
      </c>
      <c r="E116" s="10" t="s">
        <v>403</v>
      </c>
      <c r="F116" s="11" t="s">
        <v>105</v>
      </c>
      <c r="G116" s="11" t="n">
        <v>3</v>
      </c>
      <c r="H116" s="11" t="s">
        <v>100</v>
      </c>
      <c r="I116" s="11" t="s">
        <v>144</v>
      </c>
      <c r="J116" s="11" t="s">
        <v>91</v>
      </c>
      <c r="K116" s="10" t="s">
        <v>588</v>
      </c>
      <c r="L116" s="10" t="s">
        <v>450</v>
      </c>
      <c r="M116" s="11" t="s">
        <v>94</v>
      </c>
    </row>
    <row r="117" customFormat="false" ht="23.85" hidden="false" customHeight="false" outlineLevel="0" collapsed="false">
      <c r="A117" s="10" t="s">
        <v>589</v>
      </c>
      <c r="B117" s="10" t="s">
        <v>442</v>
      </c>
      <c r="C117" s="10" t="s">
        <v>590</v>
      </c>
      <c r="D117" s="10" t="s">
        <v>591</v>
      </c>
      <c r="E117" s="10" t="s">
        <v>403</v>
      </c>
      <c r="F117" s="11" t="s">
        <v>105</v>
      </c>
      <c r="G117" s="11" t="n">
        <v>3</v>
      </c>
      <c r="H117" s="11" t="s">
        <v>100</v>
      </c>
      <c r="I117" s="11" t="s">
        <v>144</v>
      </c>
      <c r="J117" s="11" t="s">
        <v>91</v>
      </c>
      <c r="K117" s="10" t="s">
        <v>592</v>
      </c>
      <c r="L117" s="10" t="s">
        <v>450</v>
      </c>
      <c r="M117" s="11" t="s">
        <v>94</v>
      </c>
    </row>
    <row r="118" customFormat="false" ht="23.85" hidden="false" customHeight="false" outlineLevel="0" collapsed="false">
      <c r="A118" s="10" t="s">
        <v>593</v>
      </c>
      <c r="B118" s="10" t="s">
        <v>442</v>
      </c>
      <c r="C118" s="10" t="s">
        <v>594</v>
      </c>
      <c r="D118" s="10" t="s">
        <v>595</v>
      </c>
      <c r="E118" s="10" t="s">
        <v>403</v>
      </c>
      <c r="F118" s="11" t="s">
        <v>105</v>
      </c>
      <c r="G118" s="11" t="n">
        <v>3</v>
      </c>
      <c r="H118" s="11" t="s">
        <v>100</v>
      </c>
      <c r="I118" s="11" t="s">
        <v>144</v>
      </c>
      <c r="J118" s="11" t="s">
        <v>91</v>
      </c>
      <c r="K118" s="10" t="s">
        <v>221</v>
      </c>
      <c r="L118" s="10" t="s">
        <v>450</v>
      </c>
      <c r="M118" s="11" t="s">
        <v>94</v>
      </c>
    </row>
    <row r="119" customFormat="false" ht="23.85" hidden="false" customHeight="false" outlineLevel="0" collapsed="false">
      <c r="A119" s="10" t="s">
        <v>596</v>
      </c>
      <c r="B119" s="10" t="s">
        <v>442</v>
      </c>
      <c r="C119" s="10" t="s">
        <v>597</v>
      </c>
      <c r="D119" s="10" t="s">
        <v>598</v>
      </c>
      <c r="E119" s="10" t="s">
        <v>599</v>
      </c>
      <c r="F119" s="11" t="s">
        <v>99</v>
      </c>
      <c r="G119" s="11" t="n">
        <v>2</v>
      </c>
      <c r="H119" s="11" t="s">
        <v>100</v>
      </c>
      <c r="I119" s="11" t="s">
        <v>144</v>
      </c>
      <c r="J119" s="11" t="s">
        <v>91</v>
      </c>
      <c r="K119" s="10" t="s">
        <v>600</v>
      </c>
      <c r="L119" s="10" t="s">
        <v>450</v>
      </c>
      <c r="M119" s="11" t="s">
        <v>94</v>
      </c>
    </row>
    <row r="120" customFormat="false" ht="23.85" hidden="false" customHeight="false" outlineLevel="0" collapsed="false">
      <c r="A120" s="10" t="s">
        <v>601</v>
      </c>
      <c r="B120" s="10" t="s">
        <v>442</v>
      </c>
      <c r="C120" s="10" t="s">
        <v>602</v>
      </c>
      <c r="D120" s="10" t="s">
        <v>603</v>
      </c>
      <c r="E120" s="10" t="s">
        <v>403</v>
      </c>
      <c r="F120" s="11" t="s">
        <v>105</v>
      </c>
      <c r="G120" s="11" t="n">
        <v>3</v>
      </c>
      <c r="H120" s="11" t="s">
        <v>100</v>
      </c>
      <c r="I120" s="11" t="s">
        <v>144</v>
      </c>
      <c r="J120" s="11" t="s">
        <v>91</v>
      </c>
      <c r="K120" s="10" t="s">
        <v>604</v>
      </c>
      <c r="L120" s="10" t="s">
        <v>450</v>
      </c>
      <c r="M120" s="11" t="s">
        <v>94</v>
      </c>
    </row>
    <row r="121" customFormat="false" ht="23.85" hidden="false" customHeight="false" outlineLevel="0" collapsed="false">
      <c r="A121" s="10" t="s">
        <v>605</v>
      </c>
      <c r="B121" s="10" t="s">
        <v>442</v>
      </c>
      <c r="C121" s="10" t="s">
        <v>606</v>
      </c>
      <c r="D121" s="10" t="s">
        <v>607</v>
      </c>
      <c r="E121" s="10" t="s">
        <v>403</v>
      </c>
      <c r="F121" s="11" t="s">
        <v>105</v>
      </c>
      <c r="G121" s="11" t="n">
        <v>3</v>
      </c>
      <c r="H121" s="11" t="s">
        <v>100</v>
      </c>
      <c r="I121" s="11" t="s">
        <v>144</v>
      </c>
      <c r="J121" s="11" t="s">
        <v>91</v>
      </c>
      <c r="K121" s="10" t="s">
        <v>236</v>
      </c>
      <c r="L121" s="10" t="s">
        <v>450</v>
      </c>
      <c r="M121" s="11" t="s">
        <v>94</v>
      </c>
    </row>
    <row r="122" customFormat="false" ht="23.85" hidden="false" customHeight="false" outlineLevel="0" collapsed="false">
      <c r="A122" s="10" t="s">
        <v>608</v>
      </c>
      <c r="B122" s="10" t="s">
        <v>442</v>
      </c>
      <c r="C122" s="10" t="s">
        <v>609</v>
      </c>
      <c r="D122" s="10" t="s">
        <v>610</v>
      </c>
      <c r="E122" s="10" t="s">
        <v>403</v>
      </c>
      <c r="F122" s="11" t="s">
        <v>105</v>
      </c>
      <c r="G122" s="11" t="n">
        <v>2</v>
      </c>
      <c r="H122" s="11" t="s">
        <v>100</v>
      </c>
      <c r="I122" s="11" t="s">
        <v>144</v>
      </c>
      <c r="J122" s="11" t="s">
        <v>91</v>
      </c>
      <c r="K122" s="10" t="s">
        <v>533</v>
      </c>
      <c r="L122" s="10" t="s">
        <v>450</v>
      </c>
      <c r="M122" s="11" t="s">
        <v>94</v>
      </c>
    </row>
    <row r="123" customFormat="false" ht="23.85" hidden="false" customHeight="false" outlineLevel="0" collapsed="false">
      <c r="A123" s="10" t="s">
        <v>611</v>
      </c>
      <c r="B123" s="10" t="s">
        <v>442</v>
      </c>
      <c r="C123" s="10" t="s">
        <v>612</v>
      </c>
      <c r="D123" s="10" t="s">
        <v>613</v>
      </c>
      <c r="E123" s="10" t="s">
        <v>614</v>
      </c>
      <c r="F123" s="11" t="s">
        <v>99</v>
      </c>
      <c r="G123" s="11" t="n">
        <v>3</v>
      </c>
      <c r="H123" s="11" t="s">
        <v>143</v>
      </c>
      <c r="I123" s="11" t="s">
        <v>144</v>
      </c>
      <c r="J123" s="11" t="s">
        <v>91</v>
      </c>
      <c r="K123" s="10" t="s">
        <v>533</v>
      </c>
      <c r="L123" s="10" t="s">
        <v>450</v>
      </c>
      <c r="M123" s="11" t="s">
        <v>94</v>
      </c>
    </row>
    <row r="124" customFormat="false" ht="23.85" hidden="false" customHeight="false" outlineLevel="0" collapsed="false">
      <c r="A124" s="10" t="s">
        <v>615</v>
      </c>
      <c r="B124" s="10" t="s">
        <v>442</v>
      </c>
      <c r="C124" s="10" t="s">
        <v>616</v>
      </c>
      <c r="D124" s="10" t="s">
        <v>617</v>
      </c>
      <c r="E124" s="10" t="s">
        <v>403</v>
      </c>
      <c r="F124" s="11" t="s">
        <v>105</v>
      </c>
      <c r="G124" s="11" t="n">
        <v>3</v>
      </c>
      <c r="H124" s="11" t="s">
        <v>100</v>
      </c>
      <c r="I124" s="11" t="s">
        <v>144</v>
      </c>
      <c r="J124" s="11" t="s">
        <v>91</v>
      </c>
      <c r="K124" s="10" t="s">
        <v>455</v>
      </c>
      <c r="L124" s="10" t="s">
        <v>450</v>
      </c>
      <c r="M124" s="11" t="s">
        <v>94</v>
      </c>
    </row>
    <row r="125" customFormat="false" ht="23.85" hidden="false" customHeight="false" outlineLevel="0" collapsed="false">
      <c r="A125" s="10" t="s">
        <v>618</v>
      </c>
      <c r="B125" s="10" t="s">
        <v>442</v>
      </c>
      <c r="C125" s="10" t="s">
        <v>619</v>
      </c>
      <c r="D125" s="10" t="s">
        <v>620</v>
      </c>
      <c r="E125" s="10" t="s">
        <v>403</v>
      </c>
      <c r="F125" s="11" t="s">
        <v>105</v>
      </c>
      <c r="G125" s="11" t="n">
        <v>2</v>
      </c>
      <c r="H125" s="11" t="s">
        <v>100</v>
      </c>
      <c r="I125" s="11" t="s">
        <v>144</v>
      </c>
      <c r="J125" s="11" t="s">
        <v>91</v>
      </c>
      <c r="K125" s="10" t="s">
        <v>150</v>
      </c>
      <c r="L125" s="10" t="s">
        <v>450</v>
      </c>
      <c r="M125" s="11" t="s">
        <v>94</v>
      </c>
    </row>
    <row r="126" customFormat="false" ht="23.85" hidden="false" customHeight="false" outlineLevel="0" collapsed="false">
      <c r="A126" s="10" t="s">
        <v>621</v>
      </c>
      <c r="B126" s="10" t="s">
        <v>442</v>
      </c>
      <c r="C126" s="10" t="s">
        <v>622</v>
      </c>
      <c r="D126" s="10" t="s">
        <v>623</v>
      </c>
      <c r="E126" s="10" t="s">
        <v>403</v>
      </c>
      <c r="F126" s="11" t="s">
        <v>105</v>
      </c>
      <c r="G126" s="11" t="n">
        <v>2</v>
      </c>
      <c r="H126" s="11" t="s">
        <v>89</v>
      </c>
      <c r="I126" s="11" t="s">
        <v>144</v>
      </c>
      <c r="J126" s="11" t="s">
        <v>91</v>
      </c>
      <c r="K126" s="10" t="s">
        <v>374</v>
      </c>
      <c r="L126" s="10" t="s">
        <v>450</v>
      </c>
      <c r="M126" s="11" t="s">
        <v>94</v>
      </c>
    </row>
    <row r="127" customFormat="false" ht="15" hidden="false" customHeight="false" outlineLevel="0" collapsed="false">
      <c r="A127" s="10" t="s">
        <v>624</v>
      </c>
      <c r="B127" s="10" t="s">
        <v>442</v>
      </c>
      <c r="C127" s="10" t="s">
        <v>625</v>
      </c>
      <c r="D127" s="10" t="s">
        <v>626</v>
      </c>
      <c r="E127" s="10" t="s">
        <v>403</v>
      </c>
      <c r="F127" s="11" t="s">
        <v>105</v>
      </c>
      <c r="G127" s="11" t="n">
        <v>3</v>
      </c>
      <c r="H127" s="11" t="s">
        <v>100</v>
      </c>
      <c r="I127" s="11" t="s">
        <v>144</v>
      </c>
      <c r="J127" s="11" t="s">
        <v>91</v>
      </c>
      <c r="K127" s="10" t="s">
        <v>460</v>
      </c>
      <c r="L127" s="10" t="s">
        <v>445</v>
      </c>
      <c r="M127" s="11" t="s">
        <v>94</v>
      </c>
    </row>
    <row r="128" customFormat="false" ht="23.85" hidden="false" customHeight="false" outlineLevel="0" collapsed="false">
      <c r="A128" s="10" t="s">
        <v>627</v>
      </c>
      <c r="B128" s="10" t="s">
        <v>442</v>
      </c>
      <c r="C128" s="10" t="s">
        <v>628</v>
      </c>
      <c r="D128" s="10" t="s">
        <v>629</v>
      </c>
      <c r="E128" s="10" t="s">
        <v>630</v>
      </c>
      <c r="F128" s="11" t="s">
        <v>99</v>
      </c>
      <c r="G128" s="11" t="n">
        <v>2</v>
      </c>
      <c r="H128" s="11" t="s">
        <v>100</v>
      </c>
      <c r="I128" s="11" t="s">
        <v>172</v>
      </c>
      <c r="J128" s="11" t="s">
        <v>176</v>
      </c>
      <c r="K128" s="10" t="s">
        <v>177</v>
      </c>
      <c r="L128" s="10" t="s">
        <v>450</v>
      </c>
      <c r="M128" s="11" t="s">
        <v>157</v>
      </c>
    </row>
    <row r="129" customFormat="false" ht="23.85" hidden="false" customHeight="false" outlineLevel="0" collapsed="false">
      <c r="A129" s="10" t="s">
        <v>631</v>
      </c>
      <c r="B129" s="10" t="s">
        <v>632</v>
      </c>
      <c r="C129" s="10" t="s">
        <v>633</v>
      </c>
      <c r="D129" s="10" t="s">
        <v>634</v>
      </c>
      <c r="E129" s="10" t="s">
        <v>635</v>
      </c>
      <c r="F129" s="11" t="s">
        <v>99</v>
      </c>
      <c r="G129" s="11" t="n">
        <v>4</v>
      </c>
      <c r="H129" s="11" t="s">
        <v>100</v>
      </c>
      <c r="I129" s="11" t="s">
        <v>90</v>
      </c>
      <c r="J129" s="11" t="s">
        <v>91</v>
      </c>
      <c r="K129" s="10" t="s">
        <v>145</v>
      </c>
      <c r="L129" s="10" t="s">
        <v>636</v>
      </c>
      <c r="M129" s="11" t="s">
        <v>94</v>
      </c>
    </row>
    <row r="130" customFormat="false" ht="23.85" hidden="false" customHeight="false" outlineLevel="0" collapsed="false">
      <c r="A130" s="10" t="s">
        <v>637</v>
      </c>
      <c r="B130" s="10" t="s">
        <v>632</v>
      </c>
      <c r="C130" s="10" t="s">
        <v>638</v>
      </c>
      <c r="D130" s="10" t="s">
        <v>639</v>
      </c>
      <c r="E130" s="10" t="s">
        <v>640</v>
      </c>
      <c r="F130" s="11" t="s">
        <v>99</v>
      </c>
      <c r="G130" s="11" t="n">
        <v>5</v>
      </c>
      <c r="H130" s="11" t="s">
        <v>100</v>
      </c>
      <c r="I130" s="11" t="s">
        <v>90</v>
      </c>
      <c r="J130" s="11" t="s">
        <v>91</v>
      </c>
      <c r="K130" s="10" t="s">
        <v>374</v>
      </c>
      <c r="L130" s="10" t="s">
        <v>636</v>
      </c>
      <c r="M130" s="11" t="s">
        <v>94</v>
      </c>
    </row>
    <row r="131" customFormat="false" ht="23.85" hidden="false" customHeight="false" outlineLevel="0" collapsed="false">
      <c r="A131" s="10" t="s">
        <v>641</v>
      </c>
      <c r="B131" s="10" t="s">
        <v>632</v>
      </c>
      <c r="C131" s="10" t="s">
        <v>642</v>
      </c>
      <c r="D131" s="10" t="s">
        <v>643</v>
      </c>
      <c r="E131" s="10" t="s">
        <v>403</v>
      </c>
      <c r="F131" s="11" t="s">
        <v>105</v>
      </c>
      <c r="G131" s="11" t="n">
        <v>4</v>
      </c>
      <c r="H131" s="11" t="s">
        <v>89</v>
      </c>
      <c r="I131" s="11" t="s">
        <v>90</v>
      </c>
      <c r="J131" s="11" t="s">
        <v>91</v>
      </c>
      <c r="K131" s="10" t="s">
        <v>644</v>
      </c>
      <c r="L131" s="10" t="s">
        <v>645</v>
      </c>
      <c r="M131" s="11" t="s">
        <v>94</v>
      </c>
    </row>
    <row r="132" customFormat="false" ht="23.85" hidden="false" customHeight="false" outlineLevel="0" collapsed="false">
      <c r="A132" s="10" t="s">
        <v>646</v>
      </c>
      <c r="B132" s="10" t="s">
        <v>632</v>
      </c>
      <c r="C132" s="10" t="s">
        <v>647</v>
      </c>
      <c r="D132" s="10" t="s">
        <v>648</v>
      </c>
      <c r="E132" s="10" t="s">
        <v>403</v>
      </c>
      <c r="F132" s="11" t="s">
        <v>105</v>
      </c>
      <c r="G132" s="11" t="n">
        <v>4</v>
      </c>
      <c r="H132" s="11" t="s">
        <v>100</v>
      </c>
      <c r="I132" s="11" t="s">
        <v>106</v>
      </c>
      <c r="J132" s="11" t="s">
        <v>91</v>
      </c>
      <c r="K132" s="10" t="s">
        <v>540</v>
      </c>
      <c r="L132" s="10" t="s">
        <v>636</v>
      </c>
      <c r="M132" s="11" t="s">
        <v>94</v>
      </c>
    </row>
    <row r="133" customFormat="false" ht="23.85" hidden="false" customHeight="false" outlineLevel="0" collapsed="false">
      <c r="A133" s="10" t="s">
        <v>649</v>
      </c>
      <c r="B133" s="10" t="s">
        <v>632</v>
      </c>
      <c r="C133" s="10" t="s">
        <v>650</v>
      </c>
      <c r="D133" s="10" t="s">
        <v>651</v>
      </c>
      <c r="E133" s="10" t="s">
        <v>652</v>
      </c>
      <c r="F133" s="11" t="s">
        <v>99</v>
      </c>
      <c r="G133" s="11" t="n">
        <v>4</v>
      </c>
      <c r="H133" s="11" t="s">
        <v>100</v>
      </c>
      <c r="I133" s="11" t="s">
        <v>106</v>
      </c>
      <c r="J133" s="11" t="s">
        <v>91</v>
      </c>
      <c r="K133" s="10" t="s">
        <v>653</v>
      </c>
      <c r="L133" s="10" t="s">
        <v>636</v>
      </c>
      <c r="M133" s="11" t="s">
        <v>94</v>
      </c>
    </row>
    <row r="134" customFormat="false" ht="23.85" hidden="false" customHeight="false" outlineLevel="0" collapsed="false">
      <c r="A134" s="10" t="s">
        <v>654</v>
      </c>
      <c r="B134" s="10" t="s">
        <v>632</v>
      </c>
      <c r="C134" s="10" t="s">
        <v>655</v>
      </c>
      <c r="D134" s="10" t="s">
        <v>656</v>
      </c>
      <c r="E134" s="10" t="s">
        <v>403</v>
      </c>
      <c r="F134" s="11" t="s">
        <v>105</v>
      </c>
      <c r="G134" s="11" t="n">
        <v>3</v>
      </c>
      <c r="H134" s="11" t="s">
        <v>100</v>
      </c>
      <c r="I134" s="11" t="s">
        <v>106</v>
      </c>
      <c r="J134" s="11" t="s">
        <v>91</v>
      </c>
      <c r="K134" s="10" t="s">
        <v>145</v>
      </c>
      <c r="L134" s="10" t="s">
        <v>636</v>
      </c>
      <c r="M134" s="11" t="s">
        <v>94</v>
      </c>
    </row>
    <row r="135" customFormat="false" ht="23.85" hidden="false" customHeight="false" outlineLevel="0" collapsed="false">
      <c r="A135" s="10" t="s">
        <v>657</v>
      </c>
      <c r="B135" s="10" t="s">
        <v>632</v>
      </c>
      <c r="C135" s="10" t="s">
        <v>658</v>
      </c>
      <c r="D135" s="10" t="s">
        <v>659</v>
      </c>
      <c r="E135" s="10" t="s">
        <v>403</v>
      </c>
      <c r="F135" s="11" t="s">
        <v>105</v>
      </c>
      <c r="G135" s="11" t="n">
        <v>3</v>
      </c>
      <c r="H135" s="11" t="s">
        <v>89</v>
      </c>
      <c r="I135" s="11" t="s">
        <v>106</v>
      </c>
      <c r="J135" s="11" t="s">
        <v>91</v>
      </c>
      <c r="K135" s="10" t="s">
        <v>533</v>
      </c>
      <c r="L135" s="10" t="s">
        <v>636</v>
      </c>
      <c r="M135" s="11" t="s">
        <v>94</v>
      </c>
    </row>
    <row r="136" customFormat="false" ht="23.85" hidden="false" customHeight="false" outlineLevel="0" collapsed="false">
      <c r="A136" s="10" t="s">
        <v>660</v>
      </c>
      <c r="B136" s="10" t="s">
        <v>632</v>
      </c>
      <c r="C136" s="10" t="s">
        <v>661</v>
      </c>
      <c r="D136" s="10" t="s">
        <v>662</v>
      </c>
      <c r="E136" s="10" t="s">
        <v>663</v>
      </c>
      <c r="F136" s="11" t="s">
        <v>99</v>
      </c>
      <c r="G136" s="11" t="n">
        <v>3</v>
      </c>
      <c r="H136" s="11" t="s">
        <v>100</v>
      </c>
      <c r="I136" s="11" t="s">
        <v>106</v>
      </c>
      <c r="J136" s="11" t="s">
        <v>91</v>
      </c>
      <c r="K136" s="10" t="s">
        <v>145</v>
      </c>
      <c r="L136" s="10" t="s">
        <v>636</v>
      </c>
      <c r="M136" s="11" t="s">
        <v>94</v>
      </c>
    </row>
    <row r="137" customFormat="false" ht="23.85" hidden="false" customHeight="false" outlineLevel="0" collapsed="false">
      <c r="A137" s="10" t="s">
        <v>664</v>
      </c>
      <c r="B137" s="10" t="s">
        <v>632</v>
      </c>
      <c r="C137" s="10" t="s">
        <v>665</v>
      </c>
      <c r="D137" s="10" t="s">
        <v>666</v>
      </c>
      <c r="E137" s="10" t="s">
        <v>663</v>
      </c>
      <c r="F137" s="11" t="s">
        <v>99</v>
      </c>
      <c r="G137" s="11" t="n">
        <v>2</v>
      </c>
      <c r="H137" s="11" t="s">
        <v>100</v>
      </c>
      <c r="I137" s="11" t="s">
        <v>144</v>
      </c>
      <c r="J137" s="11" t="s">
        <v>91</v>
      </c>
      <c r="K137" s="10" t="s">
        <v>145</v>
      </c>
      <c r="L137" s="10" t="s">
        <v>636</v>
      </c>
      <c r="M137" s="11" t="s">
        <v>94</v>
      </c>
    </row>
    <row r="138" customFormat="false" ht="23.85" hidden="false" customHeight="false" outlineLevel="0" collapsed="false">
      <c r="A138" s="10" t="s">
        <v>667</v>
      </c>
      <c r="B138" s="10" t="s">
        <v>632</v>
      </c>
      <c r="C138" s="10" t="s">
        <v>668</v>
      </c>
      <c r="D138" s="10" t="s">
        <v>669</v>
      </c>
      <c r="E138" s="10" t="s">
        <v>403</v>
      </c>
      <c r="F138" s="11" t="s">
        <v>105</v>
      </c>
      <c r="G138" s="11" t="n">
        <v>2</v>
      </c>
      <c r="H138" s="11" t="s">
        <v>89</v>
      </c>
      <c r="I138" s="11" t="s">
        <v>144</v>
      </c>
      <c r="J138" s="11" t="s">
        <v>91</v>
      </c>
      <c r="K138" s="10" t="s">
        <v>533</v>
      </c>
      <c r="L138" s="10" t="s">
        <v>670</v>
      </c>
      <c r="M138" s="11" t="s">
        <v>94</v>
      </c>
    </row>
    <row r="139" customFormat="false" ht="23.85" hidden="false" customHeight="false" outlineLevel="0" collapsed="false">
      <c r="A139" s="10" t="s">
        <v>671</v>
      </c>
      <c r="B139" s="10" t="s">
        <v>632</v>
      </c>
      <c r="C139" s="10" t="s">
        <v>672</v>
      </c>
      <c r="D139" s="10" t="s">
        <v>673</v>
      </c>
      <c r="E139" s="10" t="s">
        <v>674</v>
      </c>
      <c r="F139" s="11" t="s">
        <v>99</v>
      </c>
      <c r="G139" s="11" t="n">
        <v>5</v>
      </c>
      <c r="H139" s="11" t="s">
        <v>143</v>
      </c>
      <c r="I139" s="11" t="s">
        <v>106</v>
      </c>
      <c r="J139" s="11" t="s">
        <v>91</v>
      </c>
      <c r="K139" s="10" t="s">
        <v>374</v>
      </c>
      <c r="L139" s="10" t="s">
        <v>636</v>
      </c>
      <c r="M139" s="11" t="s">
        <v>94</v>
      </c>
    </row>
    <row r="140" customFormat="false" ht="23.85" hidden="false" customHeight="false" outlineLevel="0" collapsed="false">
      <c r="A140" s="10" t="s">
        <v>675</v>
      </c>
      <c r="B140" s="10" t="s">
        <v>632</v>
      </c>
      <c r="C140" s="10" t="s">
        <v>676</v>
      </c>
      <c r="D140" s="10" t="s">
        <v>677</v>
      </c>
      <c r="E140" s="10" t="s">
        <v>678</v>
      </c>
      <c r="F140" s="11" t="s">
        <v>99</v>
      </c>
      <c r="G140" s="11" t="n">
        <v>4</v>
      </c>
      <c r="H140" s="11" t="s">
        <v>143</v>
      </c>
      <c r="I140" s="11" t="s">
        <v>106</v>
      </c>
      <c r="J140" s="11" t="s">
        <v>91</v>
      </c>
      <c r="K140" s="10" t="s">
        <v>236</v>
      </c>
      <c r="L140" s="10" t="s">
        <v>636</v>
      </c>
      <c r="M140" s="11" t="s">
        <v>94</v>
      </c>
    </row>
    <row r="141" customFormat="false" ht="23.85" hidden="false" customHeight="false" outlineLevel="0" collapsed="false">
      <c r="A141" s="10" t="s">
        <v>679</v>
      </c>
      <c r="B141" s="10" t="s">
        <v>632</v>
      </c>
      <c r="C141" s="10" t="s">
        <v>680</v>
      </c>
      <c r="D141" s="10" t="s">
        <v>681</v>
      </c>
      <c r="E141" s="10" t="s">
        <v>403</v>
      </c>
      <c r="F141" s="11" t="s">
        <v>105</v>
      </c>
      <c r="G141" s="11" t="n">
        <v>3</v>
      </c>
      <c r="H141" s="11" t="s">
        <v>100</v>
      </c>
      <c r="I141" s="11" t="s">
        <v>106</v>
      </c>
      <c r="J141" s="11" t="s">
        <v>91</v>
      </c>
      <c r="K141" s="10" t="s">
        <v>682</v>
      </c>
      <c r="L141" s="10" t="s">
        <v>636</v>
      </c>
      <c r="M141" s="11" t="s">
        <v>94</v>
      </c>
    </row>
    <row r="142" customFormat="false" ht="23.85" hidden="false" customHeight="false" outlineLevel="0" collapsed="false">
      <c r="A142" s="10" t="s">
        <v>683</v>
      </c>
      <c r="B142" s="10" t="s">
        <v>632</v>
      </c>
      <c r="C142" s="10" t="s">
        <v>684</v>
      </c>
      <c r="D142" s="10" t="s">
        <v>685</v>
      </c>
      <c r="E142" s="10" t="s">
        <v>686</v>
      </c>
      <c r="F142" s="11" t="s">
        <v>99</v>
      </c>
      <c r="G142" s="11" t="n">
        <v>3</v>
      </c>
      <c r="H142" s="11" t="s">
        <v>100</v>
      </c>
      <c r="I142" s="11" t="s">
        <v>106</v>
      </c>
      <c r="J142" s="11" t="s">
        <v>91</v>
      </c>
      <c r="K142" s="10" t="s">
        <v>236</v>
      </c>
      <c r="L142" s="10" t="s">
        <v>636</v>
      </c>
      <c r="M142" s="11" t="s">
        <v>94</v>
      </c>
    </row>
    <row r="143" customFormat="false" ht="23.85" hidden="false" customHeight="false" outlineLevel="0" collapsed="false">
      <c r="A143" s="10" t="s">
        <v>687</v>
      </c>
      <c r="B143" s="10" t="s">
        <v>632</v>
      </c>
      <c r="C143" s="10" t="s">
        <v>688</v>
      </c>
      <c r="D143" s="10" t="s">
        <v>689</v>
      </c>
      <c r="E143" s="10" t="s">
        <v>403</v>
      </c>
      <c r="F143" s="11" t="s">
        <v>105</v>
      </c>
      <c r="G143" s="11" t="n">
        <v>3</v>
      </c>
      <c r="H143" s="11" t="s">
        <v>89</v>
      </c>
      <c r="I143" s="11" t="s">
        <v>106</v>
      </c>
      <c r="J143" s="11" t="s">
        <v>91</v>
      </c>
      <c r="K143" s="10" t="s">
        <v>236</v>
      </c>
      <c r="L143" s="10" t="s">
        <v>636</v>
      </c>
      <c r="M143" s="11" t="s">
        <v>94</v>
      </c>
    </row>
    <row r="144" customFormat="false" ht="23.85" hidden="false" customHeight="false" outlineLevel="0" collapsed="false">
      <c r="A144" s="10" t="s">
        <v>690</v>
      </c>
      <c r="B144" s="10" t="s">
        <v>632</v>
      </c>
      <c r="C144" s="10" t="s">
        <v>691</v>
      </c>
      <c r="D144" s="10" t="s">
        <v>692</v>
      </c>
      <c r="E144" s="10" t="s">
        <v>693</v>
      </c>
      <c r="F144" s="11" t="s">
        <v>99</v>
      </c>
      <c r="G144" s="11" t="n">
        <v>4</v>
      </c>
      <c r="H144" s="11" t="s">
        <v>89</v>
      </c>
      <c r="I144" s="11" t="s">
        <v>106</v>
      </c>
      <c r="J144" s="11" t="s">
        <v>91</v>
      </c>
      <c r="K144" s="10" t="s">
        <v>213</v>
      </c>
      <c r="L144" s="10" t="s">
        <v>694</v>
      </c>
      <c r="M144" s="11" t="s">
        <v>94</v>
      </c>
    </row>
    <row r="145" customFormat="false" ht="23.85" hidden="false" customHeight="false" outlineLevel="0" collapsed="false">
      <c r="A145" s="10" t="s">
        <v>695</v>
      </c>
      <c r="B145" s="10" t="s">
        <v>632</v>
      </c>
      <c r="C145" s="10" t="s">
        <v>696</v>
      </c>
      <c r="D145" s="10" t="s">
        <v>697</v>
      </c>
      <c r="E145" s="10" t="s">
        <v>403</v>
      </c>
      <c r="F145" s="11" t="s">
        <v>105</v>
      </c>
      <c r="G145" s="11" t="n">
        <v>3</v>
      </c>
      <c r="H145" s="11" t="s">
        <v>143</v>
      </c>
      <c r="I145" s="11" t="s">
        <v>144</v>
      </c>
      <c r="J145" s="11" t="s">
        <v>91</v>
      </c>
      <c r="K145" s="10" t="s">
        <v>236</v>
      </c>
      <c r="L145" s="10" t="s">
        <v>636</v>
      </c>
      <c r="M145" s="11" t="s">
        <v>94</v>
      </c>
    </row>
    <row r="146" customFormat="false" ht="23.85" hidden="false" customHeight="false" outlineLevel="0" collapsed="false">
      <c r="A146" s="10" t="s">
        <v>698</v>
      </c>
      <c r="B146" s="10" t="s">
        <v>632</v>
      </c>
      <c r="C146" s="10" t="s">
        <v>699</v>
      </c>
      <c r="D146" s="10" t="s">
        <v>700</v>
      </c>
      <c r="E146" s="10" t="s">
        <v>701</v>
      </c>
      <c r="F146" s="11" t="s">
        <v>99</v>
      </c>
      <c r="G146" s="11" t="n">
        <v>4</v>
      </c>
      <c r="H146" s="11" t="s">
        <v>143</v>
      </c>
      <c r="I146" s="11" t="s">
        <v>106</v>
      </c>
      <c r="J146" s="11" t="s">
        <v>91</v>
      </c>
      <c r="K146" s="10" t="s">
        <v>702</v>
      </c>
      <c r="L146" s="10" t="s">
        <v>636</v>
      </c>
      <c r="M146" s="11" t="s">
        <v>94</v>
      </c>
    </row>
    <row r="147" customFormat="false" ht="23.85" hidden="false" customHeight="false" outlineLevel="0" collapsed="false">
      <c r="A147" s="10" t="s">
        <v>703</v>
      </c>
      <c r="B147" s="10" t="s">
        <v>632</v>
      </c>
      <c r="C147" s="10" t="s">
        <v>704</v>
      </c>
      <c r="D147" s="10" t="s">
        <v>705</v>
      </c>
      <c r="E147" s="10" t="s">
        <v>403</v>
      </c>
      <c r="F147" s="11" t="s">
        <v>105</v>
      </c>
      <c r="G147" s="11" t="n">
        <v>4</v>
      </c>
      <c r="H147" s="11" t="s">
        <v>100</v>
      </c>
      <c r="I147" s="11" t="s">
        <v>106</v>
      </c>
      <c r="J147" s="11" t="s">
        <v>91</v>
      </c>
      <c r="K147" s="10" t="s">
        <v>145</v>
      </c>
      <c r="L147" s="10" t="s">
        <v>636</v>
      </c>
      <c r="M147" s="11" t="s">
        <v>94</v>
      </c>
    </row>
    <row r="148" customFormat="false" ht="23.85" hidden="false" customHeight="false" outlineLevel="0" collapsed="false">
      <c r="A148" s="10" t="s">
        <v>706</v>
      </c>
      <c r="B148" s="10" t="s">
        <v>632</v>
      </c>
      <c r="C148" s="10" t="s">
        <v>707</v>
      </c>
      <c r="D148" s="10" t="s">
        <v>708</v>
      </c>
      <c r="E148" s="10" t="s">
        <v>709</v>
      </c>
      <c r="F148" s="11" t="s">
        <v>88</v>
      </c>
      <c r="G148" s="11" t="n">
        <v>2</v>
      </c>
      <c r="H148" s="11" t="s">
        <v>89</v>
      </c>
      <c r="I148" s="11" t="s">
        <v>144</v>
      </c>
      <c r="J148" s="11" t="s">
        <v>91</v>
      </c>
      <c r="K148" s="10" t="s">
        <v>710</v>
      </c>
      <c r="L148" s="10" t="s">
        <v>636</v>
      </c>
      <c r="M148" s="11" t="s">
        <v>94</v>
      </c>
    </row>
    <row r="149" customFormat="false" ht="23.85" hidden="false" customHeight="false" outlineLevel="0" collapsed="false">
      <c r="A149" s="10" t="s">
        <v>711</v>
      </c>
      <c r="B149" s="10" t="s">
        <v>632</v>
      </c>
      <c r="C149" s="10" t="s">
        <v>712</v>
      </c>
      <c r="D149" s="10" t="s">
        <v>713</v>
      </c>
      <c r="E149" s="10" t="s">
        <v>714</v>
      </c>
      <c r="F149" s="11" t="s">
        <v>99</v>
      </c>
      <c r="G149" s="11" t="n">
        <v>2</v>
      </c>
      <c r="H149" s="11" t="s">
        <v>89</v>
      </c>
      <c r="I149" s="11" t="s">
        <v>144</v>
      </c>
      <c r="J149" s="11" t="s">
        <v>91</v>
      </c>
      <c r="K149" s="10" t="s">
        <v>236</v>
      </c>
      <c r="L149" s="10" t="s">
        <v>636</v>
      </c>
      <c r="M149" s="11" t="s">
        <v>94</v>
      </c>
    </row>
    <row r="150" customFormat="false" ht="23.85" hidden="false" customHeight="false" outlineLevel="0" collapsed="false">
      <c r="A150" s="10" t="s">
        <v>715</v>
      </c>
      <c r="B150" s="10" t="s">
        <v>632</v>
      </c>
      <c r="C150" s="10" t="s">
        <v>716</v>
      </c>
      <c r="D150" s="10" t="s">
        <v>717</v>
      </c>
      <c r="E150" s="10" t="s">
        <v>403</v>
      </c>
      <c r="F150" s="11" t="s">
        <v>105</v>
      </c>
      <c r="G150" s="11" t="n">
        <v>3</v>
      </c>
      <c r="H150" s="11" t="s">
        <v>89</v>
      </c>
      <c r="I150" s="11" t="s">
        <v>144</v>
      </c>
      <c r="J150" s="11" t="s">
        <v>91</v>
      </c>
      <c r="K150" s="10" t="s">
        <v>123</v>
      </c>
      <c r="L150" s="10" t="s">
        <v>670</v>
      </c>
      <c r="M150" s="11" t="s">
        <v>94</v>
      </c>
    </row>
    <row r="151" customFormat="false" ht="23.85" hidden="false" customHeight="false" outlineLevel="0" collapsed="false">
      <c r="A151" s="10" t="s">
        <v>718</v>
      </c>
      <c r="B151" s="10" t="s">
        <v>632</v>
      </c>
      <c r="C151" s="10" t="s">
        <v>719</v>
      </c>
      <c r="D151" s="10" t="s">
        <v>720</v>
      </c>
      <c r="E151" s="10" t="s">
        <v>403</v>
      </c>
      <c r="F151" s="11" t="s">
        <v>105</v>
      </c>
      <c r="G151" s="11" t="n">
        <v>3</v>
      </c>
      <c r="H151" s="11" t="s">
        <v>89</v>
      </c>
      <c r="I151" s="11" t="s">
        <v>144</v>
      </c>
      <c r="J151" s="11" t="s">
        <v>91</v>
      </c>
      <c r="K151" s="10" t="s">
        <v>213</v>
      </c>
      <c r="L151" s="10" t="s">
        <v>670</v>
      </c>
      <c r="M151" s="11" t="s">
        <v>94</v>
      </c>
    </row>
    <row r="152" customFormat="false" ht="23.85" hidden="false" customHeight="false" outlineLevel="0" collapsed="false">
      <c r="A152" s="10" t="s">
        <v>721</v>
      </c>
      <c r="B152" s="10" t="s">
        <v>632</v>
      </c>
      <c r="C152" s="10" t="s">
        <v>722</v>
      </c>
      <c r="D152" s="10" t="s">
        <v>723</v>
      </c>
      <c r="E152" s="10" t="s">
        <v>724</v>
      </c>
      <c r="F152" s="11" t="s">
        <v>88</v>
      </c>
      <c r="G152" s="11" t="n">
        <v>3</v>
      </c>
      <c r="H152" s="11" t="s">
        <v>89</v>
      </c>
      <c r="I152" s="11" t="s">
        <v>144</v>
      </c>
      <c r="J152" s="11" t="s">
        <v>91</v>
      </c>
      <c r="K152" s="10" t="s">
        <v>725</v>
      </c>
      <c r="L152" s="10" t="s">
        <v>636</v>
      </c>
      <c r="M152" s="11" t="s">
        <v>94</v>
      </c>
    </row>
    <row r="153" customFormat="false" ht="23.85" hidden="false" customHeight="false" outlineLevel="0" collapsed="false">
      <c r="A153" s="10" t="s">
        <v>726</v>
      </c>
      <c r="B153" s="10" t="s">
        <v>632</v>
      </c>
      <c r="C153" s="10" t="s">
        <v>727</v>
      </c>
      <c r="D153" s="10" t="s">
        <v>728</v>
      </c>
      <c r="E153" s="10" t="s">
        <v>729</v>
      </c>
      <c r="F153" s="11" t="s">
        <v>99</v>
      </c>
      <c r="G153" s="11" t="n">
        <v>3</v>
      </c>
      <c r="H153" s="11" t="s">
        <v>100</v>
      </c>
      <c r="I153" s="11" t="s">
        <v>144</v>
      </c>
      <c r="J153" s="11" t="s">
        <v>91</v>
      </c>
      <c r="K153" s="10" t="s">
        <v>730</v>
      </c>
      <c r="L153" s="10" t="s">
        <v>636</v>
      </c>
      <c r="M153" s="11" t="s">
        <v>94</v>
      </c>
    </row>
    <row r="154" customFormat="false" ht="23.85" hidden="false" customHeight="false" outlineLevel="0" collapsed="false">
      <c r="A154" s="10" t="s">
        <v>731</v>
      </c>
      <c r="B154" s="10" t="s">
        <v>632</v>
      </c>
      <c r="C154" s="10" t="s">
        <v>732</v>
      </c>
      <c r="D154" s="10" t="s">
        <v>733</v>
      </c>
      <c r="E154" s="10" t="s">
        <v>734</v>
      </c>
      <c r="F154" s="11" t="s">
        <v>99</v>
      </c>
      <c r="G154" s="11" t="n">
        <v>4</v>
      </c>
      <c r="H154" s="11" t="s">
        <v>89</v>
      </c>
      <c r="I154" s="11" t="s">
        <v>144</v>
      </c>
      <c r="J154" s="11" t="s">
        <v>91</v>
      </c>
      <c r="K154" s="10" t="s">
        <v>540</v>
      </c>
      <c r="L154" s="10" t="s">
        <v>636</v>
      </c>
      <c r="M154" s="11" t="s">
        <v>94</v>
      </c>
    </row>
    <row r="155" customFormat="false" ht="23.85" hidden="false" customHeight="false" outlineLevel="0" collapsed="false">
      <c r="A155" s="10" t="s">
        <v>735</v>
      </c>
      <c r="B155" s="10" t="s">
        <v>632</v>
      </c>
      <c r="C155" s="10" t="s">
        <v>736</v>
      </c>
      <c r="D155" s="10" t="s">
        <v>737</v>
      </c>
      <c r="E155" s="10" t="s">
        <v>154</v>
      </c>
      <c r="F155" s="11" t="s">
        <v>105</v>
      </c>
      <c r="G155" s="11" t="n">
        <v>2</v>
      </c>
      <c r="H155" s="11" t="s">
        <v>100</v>
      </c>
      <c r="I155" s="11" t="s">
        <v>172</v>
      </c>
      <c r="J155" s="11" t="s">
        <v>176</v>
      </c>
      <c r="K155" s="10" t="s">
        <v>177</v>
      </c>
      <c r="L155" s="10" t="s">
        <v>636</v>
      </c>
      <c r="M155" s="11" t="s">
        <v>157</v>
      </c>
    </row>
    <row r="156" customFormat="false" ht="23.85" hidden="false" customHeight="false" outlineLevel="0" collapsed="false">
      <c r="A156" s="10" t="s">
        <v>738</v>
      </c>
      <c r="B156" s="10" t="s">
        <v>632</v>
      </c>
      <c r="C156" s="10" t="s">
        <v>739</v>
      </c>
      <c r="D156" s="10" t="s">
        <v>740</v>
      </c>
      <c r="E156" s="10" t="s">
        <v>403</v>
      </c>
      <c r="F156" s="11" t="s">
        <v>105</v>
      </c>
      <c r="G156" s="11" t="n">
        <v>2</v>
      </c>
      <c r="H156" s="11" t="s">
        <v>89</v>
      </c>
      <c r="I156" s="11" t="s">
        <v>106</v>
      </c>
      <c r="J156" s="11" t="s">
        <v>320</v>
      </c>
      <c r="K156" s="10" t="s">
        <v>321</v>
      </c>
      <c r="L156" s="10" t="s">
        <v>636</v>
      </c>
      <c r="M156" s="11" t="s">
        <v>157</v>
      </c>
    </row>
    <row r="157" customFormat="false" ht="23.85" hidden="false" customHeight="false" outlineLevel="0" collapsed="false">
      <c r="A157" s="10" t="s">
        <v>741</v>
      </c>
      <c r="B157" s="10" t="s">
        <v>742</v>
      </c>
      <c r="C157" s="10" t="s">
        <v>743</v>
      </c>
      <c r="D157" s="10" t="s">
        <v>744</v>
      </c>
      <c r="E157" s="10" t="s">
        <v>745</v>
      </c>
      <c r="F157" s="11" t="s">
        <v>99</v>
      </c>
      <c r="G157" s="11" t="n">
        <v>4</v>
      </c>
      <c r="H157" s="11" t="s">
        <v>100</v>
      </c>
      <c r="I157" s="11" t="s">
        <v>106</v>
      </c>
      <c r="J157" s="11" t="s">
        <v>91</v>
      </c>
      <c r="K157" s="10" t="s">
        <v>236</v>
      </c>
      <c r="L157" s="10" t="s">
        <v>746</v>
      </c>
      <c r="M157" s="11" t="s">
        <v>94</v>
      </c>
    </row>
    <row r="158" customFormat="false" ht="23.85" hidden="false" customHeight="false" outlineLevel="0" collapsed="false">
      <c r="A158" s="10" t="s">
        <v>747</v>
      </c>
      <c r="B158" s="10" t="s">
        <v>742</v>
      </c>
      <c r="C158" s="10" t="s">
        <v>748</v>
      </c>
      <c r="D158" s="10" t="s">
        <v>749</v>
      </c>
      <c r="E158" s="10" t="s">
        <v>403</v>
      </c>
      <c r="F158" s="11" t="s">
        <v>105</v>
      </c>
      <c r="G158" s="11" t="n">
        <v>3</v>
      </c>
      <c r="H158" s="11" t="s">
        <v>100</v>
      </c>
      <c r="I158" s="11" t="s">
        <v>106</v>
      </c>
      <c r="J158" s="11" t="s">
        <v>91</v>
      </c>
      <c r="K158" s="10" t="s">
        <v>653</v>
      </c>
      <c r="L158" s="10" t="s">
        <v>750</v>
      </c>
      <c r="M158" s="11" t="s">
        <v>94</v>
      </c>
    </row>
    <row r="159" customFormat="false" ht="23.85" hidden="false" customHeight="false" outlineLevel="0" collapsed="false">
      <c r="A159" s="10" t="s">
        <v>751</v>
      </c>
      <c r="B159" s="10" t="s">
        <v>742</v>
      </c>
      <c r="C159" s="10" t="s">
        <v>752</v>
      </c>
      <c r="D159" s="10" t="s">
        <v>753</v>
      </c>
      <c r="E159" s="10" t="s">
        <v>752</v>
      </c>
      <c r="F159" s="11" t="s">
        <v>88</v>
      </c>
      <c r="G159" s="11" t="n">
        <v>4</v>
      </c>
      <c r="H159" s="11" t="s">
        <v>100</v>
      </c>
      <c r="I159" s="11" t="s">
        <v>106</v>
      </c>
      <c r="J159" s="11" t="s">
        <v>91</v>
      </c>
      <c r="K159" s="10" t="s">
        <v>236</v>
      </c>
      <c r="L159" s="10" t="s">
        <v>746</v>
      </c>
      <c r="M159" s="11" t="s">
        <v>94</v>
      </c>
    </row>
    <row r="160" customFormat="false" ht="23.85" hidden="false" customHeight="false" outlineLevel="0" collapsed="false">
      <c r="A160" s="10" t="s">
        <v>754</v>
      </c>
      <c r="B160" s="10" t="s">
        <v>742</v>
      </c>
      <c r="C160" s="10" t="s">
        <v>755</v>
      </c>
      <c r="D160" s="10" t="s">
        <v>756</v>
      </c>
      <c r="E160" s="10" t="s">
        <v>403</v>
      </c>
      <c r="F160" s="11" t="s">
        <v>105</v>
      </c>
      <c r="G160" s="11" t="n">
        <v>4</v>
      </c>
      <c r="H160" s="11" t="s">
        <v>100</v>
      </c>
      <c r="I160" s="11" t="s">
        <v>106</v>
      </c>
      <c r="J160" s="11" t="s">
        <v>91</v>
      </c>
      <c r="K160" s="10" t="s">
        <v>150</v>
      </c>
      <c r="L160" s="10" t="s">
        <v>746</v>
      </c>
      <c r="M160" s="11" t="s">
        <v>94</v>
      </c>
    </row>
    <row r="161" customFormat="false" ht="23.85" hidden="false" customHeight="false" outlineLevel="0" collapsed="false">
      <c r="A161" s="10" t="s">
        <v>757</v>
      </c>
      <c r="B161" s="10" t="s">
        <v>742</v>
      </c>
      <c r="C161" s="10" t="s">
        <v>758</v>
      </c>
      <c r="D161" s="10" t="s">
        <v>759</v>
      </c>
      <c r="E161" s="10" t="s">
        <v>760</v>
      </c>
      <c r="F161" s="11" t="s">
        <v>99</v>
      </c>
      <c r="G161" s="11" t="n">
        <v>4</v>
      </c>
      <c r="H161" s="11" t="s">
        <v>100</v>
      </c>
      <c r="I161" s="11" t="s">
        <v>106</v>
      </c>
      <c r="J161" s="11" t="s">
        <v>91</v>
      </c>
      <c r="K161" s="10" t="s">
        <v>761</v>
      </c>
      <c r="L161" s="10" t="s">
        <v>746</v>
      </c>
      <c r="M161" s="11" t="s">
        <v>94</v>
      </c>
    </row>
    <row r="162" customFormat="false" ht="15" hidden="false" customHeight="false" outlineLevel="0" collapsed="false">
      <c r="A162" s="10" t="s">
        <v>762</v>
      </c>
      <c r="B162" s="10" t="s">
        <v>742</v>
      </c>
      <c r="C162" s="10" t="s">
        <v>763</v>
      </c>
      <c r="D162" s="10" t="s">
        <v>764</v>
      </c>
      <c r="E162" s="10" t="s">
        <v>765</v>
      </c>
      <c r="F162" s="11" t="s">
        <v>105</v>
      </c>
      <c r="G162" s="11" t="n">
        <v>3</v>
      </c>
      <c r="H162" s="11" t="s">
        <v>89</v>
      </c>
      <c r="I162" s="11" t="s">
        <v>106</v>
      </c>
      <c r="J162" s="11" t="s">
        <v>91</v>
      </c>
      <c r="K162" s="10" t="s">
        <v>118</v>
      </c>
      <c r="L162" s="10" t="s">
        <v>766</v>
      </c>
      <c r="M162" s="11" t="s">
        <v>94</v>
      </c>
    </row>
    <row r="163" customFormat="false" ht="23.85" hidden="false" customHeight="false" outlineLevel="0" collapsed="false">
      <c r="A163" s="10" t="s">
        <v>767</v>
      </c>
      <c r="B163" s="10" t="s">
        <v>742</v>
      </c>
      <c r="C163" s="10" t="s">
        <v>768</v>
      </c>
      <c r="D163" s="10" t="s">
        <v>769</v>
      </c>
      <c r="E163" s="10" t="s">
        <v>770</v>
      </c>
      <c r="F163" s="11" t="s">
        <v>99</v>
      </c>
      <c r="G163" s="11" t="n">
        <v>2</v>
      </c>
      <c r="H163" s="11" t="s">
        <v>89</v>
      </c>
      <c r="I163" s="11" t="s">
        <v>106</v>
      </c>
      <c r="J163" s="11" t="s">
        <v>91</v>
      </c>
      <c r="K163" s="10" t="s">
        <v>540</v>
      </c>
      <c r="L163" s="10" t="s">
        <v>771</v>
      </c>
      <c r="M163" s="11" t="s">
        <v>94</v>
      </c>
    </row>
    <row r="164" customFormat="false" ht="15" hidden="false" customHeight="false" outlineLevel="0" collapsed="false">
      <c r="A164" s="10" t="s">
        <v>772</v>
      </c>
      <c r="B164" s="10" t="s">
        <v>742</v>
      </c>
      <c r="C164" s="10" t="s">
        <v>773</v>
      </c>
      <c r="D164" s="10" t="s">
        <v>774</v>
      </c>
      <c r="E164" s="10" t="s">
        <v>403</v>
      </c>
      <c r="F164" s="11" t="s">
        <v>105</v>
      </c>
      <c r="G164" s="11" t="n">
        <v>2</v>
      </c>
      <c r="H164" s="11" t="s">
        <v>89</v>
      </c>
      <c r="I164" s="11" t="s">
        <v>106</v>
      </c>
      <c r="J164" s="11" t="s">
        <v>91</v>
      </c>
      <c r="K164" s="10" t="s">
        <v>123</v>
      </c>
      <c r="L164" s="10" t="s">
        <v>775</v>
      </c>
      <c r="M164" s="11" t="s">
        <v>94</v>
      </c>
    </row>
    <row r="165" customFormat="false" ht="23.85" hidden="false" customHeight="false" outlineLevel="0" collapsed="false">
      <c r="A165" s="10" t="s">
        <v>776</v>
      </c>
      <c r="B165" s="10" t="s">
        <v>742</v>
      </c>
      <c r="C165" s="10" t="s">
        <v>777</v>
      </c>
      <c r="D165" s="10" t="s">
        <v>778</v>
      </c>
      <c r="E165" s="10" t="s">
        <v>779</v>
      </c>
      <c r="F165" s="11" t="s">
        <v>99</v>
      </c>
      <c r="G165" s="11" t="n">
        <v>5</v>
      </c>
      <c r="H165" s="11" t="s">
        <v>100</v>
      </c>
      <c r="I165" s="11" t="s">
        <v>106</v>
      </c>
      <c r="J165" s="11" t="s">
        <v>91</v>
      </c>
      <c r="K165" s="10" t="s">
        <v>213</v>
      </c>
      <c r="L165" s="10" t="s">
        <v>746</v>
      </c>
      <c r="M165" s="11" t="s">
        <v>94</v>
      </c>
    </row>
    <row r="166" customFormat="false" ht="23.85" hidden="false" customHeight="false" outlineLevel="0" collapsed="false">
      <c r="A166" s="10" t="s">
        <v>780</v>
      </c>
      <c r="B166" s="10" t="s">
        <v>742</v>
      </c>
      <c r="C166" s="10" t="s">
        <v>781</v>
      </c>
      <c r="D166" s="10" t="s">
        <v>782</v>
      </c>
      <c r="E166" s="10" t="s">
        <v>783</v>
      </c>
      <c r="F166" s="11" t="s">
        <v>99</v>
      </c>
      <c r="G166" s="11" t="n">
        <v>4</v>
      </c>
      <c r="H166" s="11" t="s">
        <v>89</v>
      </c>
      <c r="I166" s="11" t="s">
        <v>106</v>
      </c>
      <c r="J166" s="11" t="s">
        <v>91</v>
      </c>
      <c r="K166" s="10" t="s">
        <v>213</v>
      </c>
      <c r="L166" s="10" t="s">
        <v>784</v>
      </c>
      <c r="M166" s="11" t="s">
        <v>94</v>
      </c>
    </row>
    <row r="167" customFormat="false" ht="23.85" hidden="false" customHeight="false" outlineLevel="0" collapsed="false">
      <c r="A167" s="10" t="s">
        <v>785</v>
      </c>
      <c r="B167" s="10" t="s">
        <v>742</v>
      </c>
      <c r="C167" s="10" t="s">
        <v>786</v>
      </c>
      <c r="D167" s="10" t="s">
        <v>787</v>
      </c>
      <c r="E167" s="10" t="s">
        <v>788</v>
      </c>
      <c r="F167" s="11" t="s">
        <v>99</v>
      </c>
      <c r="G167" s="11" t="n">
        <v>4</v>
      </c>
      <c r="H167" s="11" t="s">
        <v>143</v>
      </c>
      <c r="I167" s="11" t="s">
        <v>144</v>
      </c>
      <c r="J167" s="11" t="s">
        <v>91</v>
      </c>
      <c r="K167" s="10" t="s">
        <v>789</v>
      </c>
      <c r="L167" s="10" t="s">
        <v>746</v>
      </c>
      <c r="M167" s="11" t="s">
        <v>94</v>
      </c>
    </row>
    <row r="168" customFormat="false" ht="23.85" hidden="false" customHeight="false" outlineLevel="0" collapsed="false">
      <c r="A168" s="10" t="s">
        <v>790</v>
      </c>
      <c r="B168" s="10" t="s">
        <v>742</v>
      </c>
      <c r="C168" s="10" t="s">
        <v>791</v>
      </c>
      <c r="D168" s="10" t="s">
        <v>792</v>
      </c>
      <c r="E168" s="10" t="s">
        <v>793</v>
      </c>
      <c r="F168" s="11" t="s">
        <v>99</v>
      </c>
      <c r="G168" s="11" t="n">
        <v>3</v>
      </c>
      <c r="H168" s="11" t="s">
        <v>100</v>
      </c>
      <c r="I168" s="11" t="s">
        <v>144</v>
      </c>
      <c r="J168" s="11" t="s">
        <v>91</v>
      </c>
      <c r="K168" s="10" t="s">
        <v>794</v>
      </c>
      <c r="L168" s="10" t="s">
        <v>746</v>
      </c>
      <c r="M168" s="11" t="s">
        <v>94</v>
      </c>
    </row>
    <row r="169" customFormat="false" ht="23.85" hidden="false" customHeight="false" outlineLevel="0" collapsed="false">
      <c r="A169" s="10" t="s">
        <v>795</v>
      </c>
      <c r="B169" s="10" t="s">
        <v>742</v>
      </c>
      <c r="C169" s="10" t="s">
        <v>796</v>
      </c>
      <c r="D169" s="10" t="s">
        <v>797</v>
      </c>
      <c r="E169" s="10" t="s">
        <v>403</v>
      </c>
      <c r="F169" s="11" t="s">
        <v>105</v>
      </c>
      <c r="G169" s="11" t="n">
        <v>4</v>
      </c>
      <c r="H169" s="11" t="s">
        <v>143</v>
      </c>
      <c r="I169" s="11" t="s">
        <v>144</v>
      </c>
      <c r="J169" s="11" t="s">
        <v>91</v>
      </c>
      <c r="K169" s="10" t="s">
        <v>798</v>
      </c>
      <c r="L169" s="10" t="s">
        <v>746</v>
      </c>
      <c r="M169" s="11" t="s">
        <v>94</v>
      </c>
    </row>
    <row r="170" customFormat="false" ht="23.85" hidden="false" customHeight="false" outlineLevel="0" collapsed="false">
      <c r="A170" s="10" t="s">
        <v>799</v>
      </c>
      <c r="B170" s="10" t="s">
        <v>742</v>
      </c>
      <c r="C170" s="10" t="s">
        <v>800</v>
      </c>
      <c r="D170" s="10" t="s">
        <v>801</v>
      </c>
      <c r="E170" s="10" t="s">
        <v>403</v>
      </c>
      <c r="F170" s="11" t="s">
        <v>105</v>
      </c>
      <c r="G170" s="11" t="n">
        <v>2</v>
      </c>
      <c r="H170" s="11" t="s">
        <v>89</v>
      </c>
      <c r="I170" s="11" t="s">
        <v>144</v>
      </c>
      <c r="J170" s="11" t="s">
        <v>91</v>
      </c>
      <c r="K170" s="10" t="s">
        <v>798</v>
      </c>
      <c r="L170" s="10" t="s">
        <v>746</v>
      </c>
      <c r="M170" s="11" t="s">
        <v>94</v>
      </c>
    </row>
    <row r="171" customFormat="false" ht="23.85" hidden="false" customHeight="false" outlineLevel="0" collapsed="false">
      <c r="A171" s="10" t="s">
        <v>802</v>
      </c>
      <c r="B171" s="10" t="s">
        <v>742</v>
      </c>
      <c r="C171" s="10" t="s">
        <v>803</v>
      </c>
      <c r="D171" s="10" t="s">
        <v>804</v>
      </c>
      <c r="E171" s="10" t="s">
        <v>154</v>
      </c>
      <c r="F171" s="11" t="s">
        <v>105</v>
      </c>
      <c r="G171" s="11" t="n">
        <v>2</v>
      </c>
      <c r="H171" s="11" t="s">
        <v>89</v>
      </c>
      <c r="I171" s="11" t="s">
        <v>144</v>
      </c>
      <c r="J171" s="11" t="s">
        <v>805</v>
      </c>
      <c r="K171" s="10" t="s">
        <v>177</v>
      </c>
      <c r="L171" s="10" t="s">
        <v>746</v>
      </c>
      <c r="M171" s="11" t="s">
        <v>157</v>
      </c>
    </row>
    <row r="172" customFormat="false" ht="23.85" hidden="false" customHeight="false" outlineLevel="0" collapsed="false">
      <c r="A172" s="10" t="s">
        <v>806</v>
      </c>
      <c r="B172" s="10" t="s">
        <v>742</v>
      </c>
      <c r="C172" s="10" t="s">
        <v>807</v>
      </c>
      <c r="D172" s="10" t="s">
        <v>808</v>
      </c>
      <c r="E172" s="10" t="s">
        <v>809</v>
      </c>
      <c r="F172" s="11" t="s">
        <v>88</v>
      </c>
      <c r="G172" s="11" t="n">
        <v>2</v>
      </c>
      <c r="H172" s="11" t="s">
        <v>100</v>
      </c>
      <c r="I172" s="11" t="s">
        <v>144</v>
      </c>
      <c r="J172" s="11" t="s">
        <v>91</v>
      </c>
      <c r="K172" s="10" t="s">
        <v>145</v>
      </c>
      <c r="L172" s="10" t="s">
        <v>746</v>
      </c>
      <c r="M172" s="11" t="s">
        <v>94</v>
      </c>
    </row>
    <row r="173" customFormat="false" ht="23.85" hidden="false" customHeight="false" outlineLevel="0" collapsed="false">
      <c r="A173" s="10" t="s">
        <v>810</v>
      </c>
      <c r="B173" s="10" t="s">
        <v>742</v>
      </c>
      <c r="C173" s="10" t="s">
        <v>811</v>
      </c>
      <c r="D173" s="10" t="s">
        <v>812</v>
      </c>
      <c r="E173" s="10" t="s">
        <v>765</v>
      </c>
      <c r="F173" s="11" t="s">
        <v>105</v>
      </c>
      <c r="G173" s="11" t="n">
        <v>3</v>
      </c>
      <c r="H173" s="11" t="s">
        <v>89</v>
      </c>
      <c r="I173" s="11" t="s">
        <v>144</v>
      </c>
      <c r="J173" s="11" t="s">
        <v>91</v>
      </c>
      <c r="K173" s="10" t="s">
        <v>254</v>
      </c>
      <c r="L173" s="10" t="s">
        <v>746</v>
      </c>
      <c r="M173" s="11" t="s">
        <v>94</v>
      </c>
    </row>
    <row r="174" customFormat="false" ht="23.85" hidden="false" customHeight="false" outlineLevel="0" collapsed="false">
      <c r="A174" s="10" t="s">
        <v>813</v>
      </c>
      <c r="B174" s="10" t="s">
        <v>742</v>
      </c>
      <c r="C174" s="10" t="s">
        <v>814</v>
      </c>
      <c r="D174" s="10" t="s">
        <v>815</v>
      </c>
      <c r="E174" s="10" t="s">
        <v>816</v>
      </c>
      <c r="F174" s="11" t="s">
        <v>99</v>
      </c>
      <c r="G174" s="11" t="n">
        <v>3</v>
      </c>
      <c r="H174" s="11" t="s">
        <v>100</v>
      </c>
      <c r="I174" s="11" t="s">
        <v>144</v>
      </c>
      <c r="J174" s="11" t="s">
        <v>91</v>
      </c>
      <c r="K174" s="10" t="s">
        <v>236</v>
      </c>
      <c r="L174" s="10" t="s">
        <v>746</v>
      </c>
      <c r="M174" s="11" t="s">
        <v>94</v>
      </c>
    </row>
    <row r="175" customFormat="false" ht="23.85" hidden="false" customHeight="false" outlineLevel="0" collapsed="false">
      <c r="A175" s="10" t="s">
        <v>817</v>
      </c>
      <c r="B175" s="10" t="s">
        <v>742</v>
      </c>
      <c r="C175" s="10" t="s">
        <v>818</v>
      </c>
      <c r="D175" s="10" t="s">
        <v>819</v>
      </c>
      <c r="E175" s="10" t="s">
        <v>820</v>
      </c>
      <c r="F175" s="11" t="s">
        <v>99</v>
      </c>
      <c r="G175" s="11" t="n">
        <v>4</v>
      </c>
      <c r="H175" s="11" t="s">
        <v>100</v>
      </c>
      <c r="I175" s="11" t="s">
        <v>144</v>
      </c>
      <c r="J175" s="11" t="s">
        <v>91</v>
      </c>
      <c r="K175" s="10" t="s">
        <v>213</v>
      </c>
      <c r="L175" s="10" t="s">
        <v>746</v>
      </c>
      <c r="M175" s="11" t="s">
        <v>94</v>
      </c>
    </row>
    <row r="176" customFormat="false" ht="23.85" hidden="false" customHeight="false" outlineLevel="0" collapsed="false">
      <c r="A176" s="10" t="s">
        <v>821</v>
      </c>
      <c r="B176" s="10" t="s">
        <v>742</v>
      </c>
      <c r="C176" s="10" t="s">
        <v>822</v>
      </c>
      <c r="D176" s="10" t="s">
        <v>823</v>
      </c>
      <c r="E176" s="10" t="s">
        <v>824</v>
      </c>
      <c r="F176" s="11" t="s">
        <v>99</v>
      </c>
      <c r="G176" s="11" t="n">
        <v>3</v>
      </c>
      <c r="H176" s="11" t="s">
        <v>100</v>
      </c>
      <c r="I176" s="11" t="s">
        <v>144</v>
      </c>
      <c r="J176" s="11" t="s">
        <v>91</v>
      </c>
      <c r="K176" s="10" t="s">
        <v>145</v>
      </c>
      <c r="L176" s="10" t="s">
        <v>746</v>
      </c>
      <c r="M176" s="11" t="s">
        <v>94</v>
      </c>
    </row>
    <row r="177" customFormat="false" ht="23.85" hidden="false" customHeight="false" outlineLevel="0" collapsed="false">
      <c r="A177" s="10" t="s">
        <v>825</v>
      </c>
      <c r="B177" s="10" t="s">
        <v>742</v>
      </c>
      <c r="C177" s="10" t="s">
        <v>826</v>
      </c>
      <c r="D177" s="10" t="s">
        <v>827</v>
      </c>
      <c r="E177" s="10" t="s">
        <v>403</v>
      </c>
      <c r="F177" s="11" t="s">
        <v>105</v>
      </c>
      <c r="G177" s="11" t="n">
        <v>3</v>
      </c>
      <c r="H177" s="11" t="s">
        <v>100</v>
      </c>
      <c r="I177" s="11" t="s">
        <v>144</v>
      </c>
      <c r="J177" s="11" t="s">
        <v>91</v>
      </c>
      <c r="K177" s="10" t="s">
        <v>828</v>
      </c>
      <c r="L177" s="10" t="s">
        <v>746</v>
      </c>
      <c r="M177" s="11" t="s">
        <v>94</v>
      </c>
    </row>
    <row r="178" customFormat="false" ht="23.85" hidden="false" customHeight="false" outlineLevel="0" collapsed="false">
      <c r="A178" s="10" t="s">
        <v>829</v>
      </c>
      <c r="B178" s="10" t="s">
        <v>742</v>
      </c>
      <c r="C178" s="10" t="s">
        <v>830</v>
      </c>
      <c r="D178" s="10" t="s">
        <v>831</v>
      </c>
      <c r="E178" s="10" t="s">
        <v>403</v>
      </c>
      <c r="F178" s="11" t="s">
        <v>105</v>
      </c>
      <c r="G178" s="11" t="n">
        <v>3</v>
      </c>
      <c r="H178" s="11" t="s">
        <v>100</v>
      </c>
      <c r="I178" s="11" t="s">
        <v>144</v>
      </c>
      <c r="J178" s="11" t="s">
        <v>91</v>
      </c>
      <c r="K178" s="10" t="s">
        <v>145</v>
      </c>
      <c r="L178" s="10" t="s">
        <v>746</v>
      </c>
      <c r="M178" s="11" t="s">
        <v>94</v>
      </c>
    </row>
    <row r="179" customFormat="false" ht="23.85" hidden="false" customHeight="false" outlineLevel="0" collapsed="false">
      <c r="A179" s="10" t="s">
        <v>832</v>
      </c>
      <c r="B179" s="10" t="s">
        <v>833</v>
      </c>
      <c r="C179" s="10" t="s">
        <v>834</v>
      </c>
      <c r="D179" s="10" t="s">
        <v>835</v>
      </c>
      <c r="E179" s="10" t="s">
        <v>836</v>
      </c>
      <c r="F179" s="11" t="s">
        <v>99</v>
      </c>
      <c r="G179" s="11" t="n">
        <v>4</v>
      </c>
      <c r="H179" s="11" t="s">
        <v>100</v>
      </c>
      <c r="I179" s="11" t="s">
        <v>106</v>
      </c>
      <c r="J179" s="11" t="s">
        <v>91</v>
      </c>
      <c r="K179" s="10" t="s">
        <v>725</v>
      </c>
      <c r="L179" s="10" t="s">
        <v>837</v>
      </c>
      <c r="M179" s="11" t="s">
        <v>94</v>
      </c>
    </row>
    <row r="180" customFormat="false" ht="23.85" hidden="false" customHeight="false" outlineLevel="0" collapsed="false">
      <c r="A180" s="10" t="s">
        <v>838</v>
      </c>
      <c r="B180" s="10" t="s">
        <v>833</v>
      </c>
      <c r="C180" s="10" t="s">
        <v>839</v>
      </c>
      <c r="D180" s="10" t="s">
        <v>840</v>
      </c>
      <c r="E180" s="10" t="s">
        <v>403</v>
      </c>
      <c r="F180" s="11" t="s">
        <v>105</v>
      </c>
      <c r="G180" s="11" t="n">
        <v>4</v>
      </c>
      <c r="H180" s="11" t="s">
        <v>143</v>
      </c>
      <c r="I180" s="11" t="s">
        <v>106</v>
      </c>
      <c r="J180" s="11" t="s">
        <v>91</v>
      </c>
      <c r="K180" s="10" t="s">
        <v>145</v>
      </c>
      <c r="L180" s="10" t="s">
        <v>841</v>
      </c>
      <c r="M180" s="11" t="s">
        <v>94</v>
      </c>
    </row>
    <row r="181" customFormat="false" ht="23.85" hidden="false" customHeight="false" outlineLevel="0" collapsed="false">
      <c r="A181" s="10" t="s">
        <v>842</v>
      </c>
      <c r="B181" s="10" t="s">
        <v>833</v>
      </c>
      <c r="C181" s="10" t="s">
        <v>843</v>
      </c>
      <c r="D181" s="10" t="s">
        <v>844</v>
      </c>
      <c r="E181" s="10" t="s">
        <v>403</v>
      </c>
      <c r="F181" s="11" t="s">
        <v>105</v>
      </c>
      <c r="G181" s="11" t="n">
        <v>3</v>
      </c>
      <c r="H181" s="11" t="s">
        <v>100</v>
      </c>
      <c r="I181" s="11" t="s">
        <v>106</v>
      </c>
      <c r="J181" s="11" t="s">
        <v>91</v>
      </c>
      <c r="K181" s="10" t="s">
        <v>145</v>
      </c>
      <c r="L181" s="10" t="s">
        <v>837</v>
      </c>
      <c r="M181" s="11" t="s">
        <v>94</v>
      </c>
    </row>
    <row r="182" customFormat="false" ht="23.85" hidden="false" customHeight="false" outlineLevel="0" collapsed="false">
      <c r="A182" s="10" t="s">
        <v>845</v>
      </c>
      <c r="B182" s="10" t="s">
        <v>833</v>
      </c>
      <c r="C182" s="10" t="s">
        <v>846</v>
      </c>
      <c r="D182" s="10" t="s">
        <v>847</v>
      </c>
      <c r="E182" s="10" t="s">
        <v>403</v>
      </c>
      <c r="F182" s="11" t="s">
        <v>105</v>
      </c>
      <c r="G182" s="11" t="n">
        <v>4</v>
      </c>
      <c r="H182" s="11" t="s">
        <v>100</v>
      </c>
      <c r="I182" s="11" t="s">
        <v>106</v>
      </c>
      <c r="J182" s="11" t="s">
        <v>91</v>
      </c>
      <c r="K182" s="10" t="s">
        <v>848</v>
      </c>
      <c r="L182" s="10" t="s">
        <v>837</v>
      </c>
      <c r="M182" s="11" t="s">
        <v>94</v>
      </c>
    </row>
    <row r="183" customFormat="false" ht="23.85" hidden="false" customHeight="false" outlineLevel="0" collapsed="false">
      <c r="A183" s="10" t="s">
        <v>849</v>
      </c>
      <c r="B183" s="10" t="s">
        <v>833</v>
      </c>
      <c r="C183" s="10" t="s">
        <v>850</v>
      </c>
      <c r="D183" s="10" t="s">
        <v>851</v>
      </c>
      <c r="E183" s="10" t="s">
        <v>852</v>
      </c>
      <c r="F183" s="11" t="s">
        <v>105</v>
      </c>
      <c r="G183" s="11" t="n">
        <v>5</v>
      </c>
      <c r="H183" s="11" t="s">
        <v>143</v>
      </c>
      <c r="I183" s="11" t="s">
        <v>106</v>
      </c>
      <c r="J183" s="11" t="s">
        <v>91</v>
      </c>
      <c r="K183" s="10" t="s">
        <v>853</v>
      </c>
      <c r="L183" s="10" t="s">
        <v>837</v>
      </c>
      <c r="M183" s="11" t="s">
        <v>94</v>
      </c>
    </row>
    <row r="184" customFormat="false" ht="23.85" hidden="false" customHeight="false" outlineLevel="0" collapsed="false">
      <c r="A184" s="10" t="s">
        <v>854</v>
      </c>
      <c r="B184" s="10" t="s">
        <v>833</v>
      </c>
      <c r="C184" s="10" t="s">
        <v>855</v>
      </c>
      <c r="D184" s="10" t="s">
        <v>856</v>
      </c>
      <c r="E184" s="10" t="s">
        <v>403</v>
      </c>
      <c r="F184" s="11" t="s">
        <v>105</v>
      </c>
      <c r="G184" s="11" t="n">
        <v>3</v>
      </c>
      <c r="H184" s="11" t="s">
        <v>89</v>
      </c>
      <c r="I184" s="11" t="s">
        <v>106</v>
      </c>
      <c r="J184" s="11" t="s">
        <v>91</v>
      </c>
      <c r="K184" s="10" t="s">
        <v>857</v>
      </c>
      <c r="L184" s="10" t="s">
        <v>837</v>
      </c>
      <c r="M184" s="11" t="s">
        <v>94</v>
      </c>
    </row>
    <row r="185" customFormat="false" ht="23.85" hidden="false" customHeight="false" outlineLevel="0" collapsed="false">
      <c r="A185" s="10" t="s">
        <v>858</v>
      </c>
      <c r="B185" s="10" t="s">
        <v>833</v>
      </c>
      <c r="C185" s="10" t="s">
        <v>859</v>
      </c>
      <c r="D185" s="10" t="s">
        <v>860</v>
      </c>
      <c r="E185" s="10" t="s">
        <v>861</v>
      </c>
      <c r="F185" s="11" t="s">
        <v>99</v>
      </c>
      <c r="G185" s="11" t="n">
        <v>3</v>
      </c>
      <c r="H185" s="11" t="s">
        <v>89</v>
      </c>
      <c r="I185" s="11" t="s">
        <v>106</v>
      </c>
      <c r="J185" s="11" t="s">
        <v>91</v>
      </c>
      <c r="K185" s="10" t="s">
        <v>857</v>
      </c>
      <c r="L185" s="10" t="s">
        <v>837</v>
      </c>
      <c r="M185" s="11" t="s">
        <v>94</v>
      </c>
    </row>
    <row r="186" customFormat="false" ht="23.85" hidden="false" customHeight="false" outlineLevel="0" collapsed="false">
      <c r="A186" s="10" t="s">
        <v>862</v>
      </c>
      <c r="B186" s="10" t="s">
        <v>833</v>
      </c>
      <c r="C186" s="10" t="s">
        <v>863</v>
      </c>
      <c r="D186" s="10" t="s">
        <v>864</v>
      </c>
      <c r="E186" s="10" t="s">
        <v>403</v>
      </c>
      <c r="F186" s="11" t="s">
        <v>105</v>
      </c>
      <c r="G186" s="11" t="n">
        <v>3</v>
      </c>
      <c r="H186" s="11" t="s">
        <v>100</v>
      </c>
      <c r="I186" s="11" t="s">
        <v>106</v>
      </c>
      <c r="J186" s="11" t="s">
        <v>91</v>
      </c>
      <c r="K186" s="10" t="s">
        <v>145</v>
      </c>
      <c r="L186" s="10" t="s">
        <v>837</v>
      </c>
      <c r="M186" s="11" t="s">
        <v>94</v>
      </c>
    </row>
    <row r="187" customFormat="false" ht="23.85" hidden="false" customHeight="false" outlineLevel="0" collapsed="false">
      <c r="A187" s="10" t="s">
        <v>865</v>
      </c>
      <c r="B187" s="10" t="s">
        <v>833</v>
      </c>
      <c r="C187" s="10" t="s">
        <v>866</v>
      </c>
      <c r="D187" s="10" t="s">
        <v>867</v>
      </c>
      <c r="E187" s="10" t="s">
        <v>868</v>
      </c>
      <c r="F187" s="11" t="s">
        <v>99</v>
      </c>
      <c r="G187" s="11" t="n">
        <v>4</v>
      </c>
      <c r="H187" s="11" t="s">
        <v>143</v>
      </c>
      <c r="I187" s="11" t="s">
        <v>106</v>
      </c>
      <c r="J187" s="11" t="s">
        <v>91</v>
      </c>
      <c r="K187" s="10" t="s">
        <v>869</v>
      </c>
      <c r="L187" s="10" t="s">
        <v>837</v>
      </c>
      <c r="M187" s="11" t="s">
        <v>94</v>
      </c>
    </row>
    <row r="188" customFormat="false" ht="23.85" hidden="false" customHeight="false" outlineLevel="0" collapsed="false">
      <c r="A188" s="10" t="s">
        <v>870</v>
      </c>
      <c r="B188" s="10" t="s">
        <v>833</v>
      </c>
      <c r="C188" s="10" t="s">
        <v>871</v>
      </c>
      <c r="D188" s="10" t="s">
        <v>872</v>
      </c>
      <c r="E188" s="10" t="s">
        <v>403</v>
      </c>
      <c r="F188" s="11" t="s">
        <v>105</v>
      </c>
      <c r="G188" s="11" t="n">
        <v>3</v>
      </c>
      <c r="H188" s="11" t="s">
        <v>89</v>
      </c>
      <c r="I188" s="11" t="s">
        <v>106</v>
      </c>
      <c r="J188" s="11" t="s">
        <v>91</v>
      </c>
      <c r="K188" s="10" t="s">
        <v>150</v>
      </c>
      <c r="L188" s="10" t="s">
        <v>837</v>
      </c>
      <c r="M188" s="11" t="s">
        <v>94</v>
      </c>
    </row>
    <row r="189" customFormat="false" ht="23.85" hidden="false" customHeight="false" outlineLevel="0" collapsed="false">
      <c r="A189" s="10" t="s">
        <v>873</v>
      </c>
      <c r="B189" s="10" t="s">
        <v>833</v>
      </c>
      <c r="C189" s="10" t="s">
        <v>874</v>
      </c>
      <c r="D189" s="10" t="s">
        <v>875</v>
      </c>
      <c r="E189" s="10" t="s">
        <v>403</v>
      </c>
      <c r="F189" s="11" t="s">
        <v>105</v>
      </c>
      <c r="G189" s="11" t="n">
        <v>4</v>
      </c>
      <c r="H189" s="11" t="s">
        <v>100</v>
      </c>
      <c r="I189" s="11" t="s">
        <v>106</v>
      </c>
      <c r="J189" s="11" t="s">
        <v>91</v>
      </c>
      <c r="K189" s="10" t="s">
        <v>533</v>
      </c>
      <c r="L189" s="10" t="s">
        <v>837</v>
      </c>
      <c r="M189" s="11" t="s">
        <v>94</v>
      </c>
    </row>
    <row r="190" customFormat="false" ht="23.85" hidden="false" customHeight="false" outlineLevel="0" collapsed="false">
      <c r="A190" s="10" t="s">
        <v>876</v>
      </c>
      <c r="B190" s="10" t="s">
        <v>833</v>
      </c>
      <c r="C190" s="10" t="s">
        <v>877</v>
      </c>
      <c r="D190" s="10" t="s">
        <v>878</v>
      </c>
      <c r="E190" s="10" t="s">
        <v>879</v>
      </c>
      <c r="F190" s="11" t="s">
        <v>99</v>
      </c>
      <c r="G190" s="11" t="n">
        <v>4</v>
      </c>
      <c r="H190" s="11" t="s">
        <v>100</v>
      </c>
      <c r="I190" s="11" t="s">
        <v>106</v>
      </c>
      <c r="J190" s="11" t="s">
        <v>91</v>
      </c>
      <c r="K190" s="10" t="s">
        <v>880</v>
      </c>
      <c r="L190" s="10" t="s">
        <v>837</v>
      </c>
      <c r="M190" s="11" t="s">
        <v>94</v>
      </c>
    </row>
    <row r="191" customFormat="false" ht="23.85" hidden="false" customHeight="false" outlineLevel="0" collapsed="false">
      <c r="A191" s="10" t="s">
        <v>881</v>
      </c>
      <c r="B191" s="10" t="s">
        <v>833</v>
      </c>
      <c r="C191" s="10" t="s">
        <v>882</v>
      </c>
      <c r="D191" s="10" t="s">
        <v>883</v>
      </c>
      <c r="E191" s="10" t="s">
        <v>403</v>
      </c>
      <c r="F191" s="11" t="s">
        <v>105</v>
      </c>
      <c r="G191" s="11" t="n">
        <v>4</v>
      </c>
      <c r="H191" s="11" t="s">
        <v>89</v>
      </c>
      <c r="I191" s="11" t="s">
        <v>106</v>
      </c>
      <c r="J191" s="11" t="s">
        <v>91</v>
      </c>
      <c r="K191" s="10" t="s">
        <v>884</v>
      </c>
      <c r="L191" s="10" t="s">
        <v>885</v>
      </c>
      <c r="M191" s="11" t="s">
        <v>94</v>
      </c>
    </row>
    <row r="192" customFormat="false" ht="23.85" hidden="false" customHeight="false" outlineLevel="0" collapsed="false">
      <c r="A192" s="10" t="s">
        <v>886</v>
      </c>
      <c r="B192" s="10" t="s">
        <v>833</v>
      </c>
      <c r="C192" s="10" t="s">
        <v>887</v>
      </c>
      <c r="D192" s="10" t="s">
        <v>888</v>
      </c>
      <c r="E192" s="10" t="s">
        <v>889</v>
      </c>
      <c r="F192" s="11" t="s">
        <v>99</v>
      </c>
      <c r="G192" s="11" t="n">
        <v>3</v>
      </c>
      <c r="H192" s="11" t="s">
        <v>100</v>
      </c>
      <c r="I192" s="11" t="s">
        <v>144</v>
      </c>
      <c r="J192" s="11" t="s">
        <v>91</v>
      </c>
      <c r="K192" s="10" t="s">
        <v>236</v>
      </c>
      <c r="L192" s="10" t="s">
        <v>890</v>
      </c>
      <c r="M192" s="11" t="s">
        <v>94</v>
      </c>
    </row>
    <row r="193" customFormat="false" ht="23.85" hidden="false" customHeight="false" outlineLevel="0" collapsed="false">
      <c r="A193" s="10" t="s">
        <v>891</v>
      </c>
      <c r="B193" s="10" t="s">
        <v>833</v>
      </c>
      <c r="C193" s="10" t="s">
        <v>892</v>
      </c>
      <c r="D193" s="10" t="s">
        <v>893</v>
      </c>
      <c r="E193" s="10" t="s">
        <v>894</v>
      </c>
      <c r="F193" s="11" t="s">
        <v>88</v>
      </c>
      <c r="G193" s="11" t="n">
        <v>2</v>
      </c>
      <c r="H193" s="11" t="s">
        <v>89</v>
      </c>
      <c r="I193" s="11" t="s">
        <v>144</v>
      </c>
      <c r="J193" s="11" t="s">
        <v>91</v>
      </c>
      <c r="K193" s="10" t="s">
        <v>725</v>
      </c>
      <c r="L193" s="10" t="s">
        <v>890</v>
      </c>
      <c r="M193" s="11" t="s">
        <v>94</v>
      </c>
    </row>
    <row r="194" customFormat="false" ht="23.85" hidden="false" customHeight="false" outlineLevel="0" collapsed="false">
      <c r="A194" s="10" t="s">
        <v>895</v>
      </c>
      <c r="B194" s="10" t="s">
        <v>833</v>
      </c>
      <c r="C194" s="10" t="s">
        <v>896</v>
      </c>
      <c r="D194" s="10" t="s">
        <v>897</v>
      </c>
      <c r="E194" s="10" t="s">
        <v>898</v>
      </c>
      <c r="F194" s="11" t="s">
        <v>99</v>
      </c>
      <c r="G194" s="11" t="n">
        <v>5</v>
      </c>
      <c r="H194" s="11" t="s">
        <v>241</v>
      </c>
      <c r="I194" s="11" t="s">
        <v>144</v>
      </c>
      <c r="J194" s="11" t="s">
        <v>91</v>
      </c>
      <c r="K194" s="10" t="s">
        <v>899</v>
      </c>
      <c r="L194" s="10" t="s">
        <v>837</v>
      </c>
      <c r="M194" s="11" t="s">
        <v>94</v>
      </c>
    </row>
    <row r="195" customFormat="false" ht="23.85" hidden="false" customHeight="false" outlineLevel="0" collapsed="false">
      <c r="A195" s="10" t="s">
        <v>900</v>
      </c>
      <c r="B195" s="10" t="s">
        <v>833</v>
      </c>
      <c r="C195" s="10" t="s">
        <v>901</v>
      </c>
      <c r="D195" s="10" t="s">
        <v>902</v>
      </c>
      <c r="E195" s="10" t="s">
        <v>903</v>
      </c>
      <c r="F195" s="11" t="s">
        <v>99</v>
      </c>
      <c r="G195" s="11" t="n">
        <v>4</v>
      </c>
      <c r="H195" s="11" t="s">
        <v>143</v>
      </c>
      <c r="I195" s="11" t="s">
        <v>144</v>
      </c>
      <c r="J195" s="11" t="s">
        <v>91</v>
      </c>
      <c r="K195" s="10" t="s">
        <v>853</v>
      </c>
      <c r="L195" s="10" t="s">
        <v>837</v>
      </c>
      <c r="M195" s="11" t="s">
        <v>94</v>
      </c>
    </row>
    <row r="196" customFormat="false" ht="23.85" hidden="false" customHeight="false" outlineLevel="0" collapsed="false">
      <c r="A196" s="10" t="s">
        <v>904</v>
      </c>
      <c r="B196" s="10" t="s">
        <v>833</v>
      </c>
      <c r="C196" s="10" t="s">
        <v>905</v>
      </c>
      <c r="D196" s="10" t="s">
        <v>906</v>
      </c>
      <c r="E196" s="10" t="s">
        <v>765</v>
      </c>
      <c r="F196" s="11" t="s">
        <v>105</v>
      </c>
      <c r="G196" s="11" t="n">
        <v>4</v>
      </c>
      <c r="H196" s="11" t="s">
        <v>100</v>
      </c>
      <c r="I196" s="11" t="s">
        <v>144</v>
      </c>
      <c r="J196" s="11" t="s">
        <v>91</v>
      </c>
      <c r="K196" s="10" t="s">
        <v>907</v>
      </c>
      <c r="L196" s="10" t="s">
        <v>837</v>
      </c>
      <c r="M196" s="11" t="s">
        <v>94</v>
      </c>
    </row>
    <row r="197" customFormat="false" ht="23.85" hidden="false" customHeight="false" outlineLevel="0" collapsed="false">
      <c r="A197" s="10" t="s">
        <v>908</v>
      </c>
      <c r="B197" s="10" t="s">
        <v>833</v>
      </c>
      <c r="C197" s="10" t="s">
        <v>909</v>
      </c>
      <c r="D197" s="10" t="s">
        <v>910</v>
      </c>
      <c r="E197" s="10" t="s">
        <v>911</v>
      </c>
      <c r="F197" s="11" t="s">
        <v>99</v>
      </c>
      <c r="G197" s="11" t="n">
        <v>3</v>
      </c>
      <c r="H197" s="11" t="s">
        <v>100</v>
      </c>
      <c r="I197" s="11" t="s">
        <v>144</v>
      </c>
      <c r="J197" s="11" t="s">
        <v>91</v>
      </c>
      <c r="K197" s="10" t="s">
        <v>912</v>
      </c>
      <c r="L197" s="10" t="s">
        <v>837</v>
      </c>
      <c r="M197" s="11" t="s">
        <v>94</v>
      </c>
    </row>
    <row r="198" customFormat="false" ht="23.85" hidden="false" customHeight="false" outlineLevel="0" collapsed="false">
      <c r="A198" s="10" t="s">
        <v>913</v>
      </c>
      <c r="B198" s="10" t="s">
        <v>833</v>
      </c>
      <c r="C198" s="10" t="s">
        <v>914</v>
      </c>
      <c r="D198" s="10" t="s">
        <v>915</v>
      </c>
      <c r="E198" s="10" t="s">
        <v>916</v>
      </c>
      <c r="F198" s="11" t="s">
        <v>88</v>
      </c>
      <c r="G198" s="11" t="n">
        <v>3</v>
      </c>
      <c r="H198" s="11" t="s">
        <v>100</v>
      </c>
      <c r="I198" s="11" t="s">
        <v>144</v>
      </c>
      <c r="J198" s="11" t="s">
        <v>91</v>
      </c>
      <c r="K198" s="10" t="s">
        <v>912</v>
      </c>
      <c r="L198" s="10" t="s">
        <v>837</v>
      </c>
      <c r="M198" s="11" t="s">
        <v>94</v>
      </c>
    </row>
    <row r="199" customFormat="false" ht="23.85" hidden="false" customHeight="false" outlineLevel="0" collapsed="false">
      <c r="A199" s="10" t="s">
        <v>917</v>
      </c>
      <c r="B199" s="10" t="s">
        <v>833</v>
      </c>
      <c r="C199" s="10" t="s">
        <v>918</v>
      </c>
      <c r="D199" s="10" t="s">
        <v>919</v>
      </c>
      <c r="E199" s="10" t="s">
        <v>920</v>
      </c>
      <c r="F199" s="11" t="s">
        <v>99</v>
      </c>
      <c r="G199" s="11" t="n">
        <v>3</v>
      </c>
      <c r="H199" s="11" t="s">
        <v>143</v>
      </c>
      <c r="I199" s="11" t="s">
        <v>144</v>
      </c>
      <c r="J199" s="11" t="s">
        <v>91</v>
      </c>
      <c r="K199" s="10" t="s">
        <v>374</v>
      </c>
      <c r="L199" s="10" t="s">
        <v>837</v>
      </c>
      <c r="M199" s="11" t="s">
        <v>94</v>
      </c>
    </row>
    <row r="200" customFormat="false" ht="23.85" hidden="false" customHeight="false" outlineLevel="0" collapsed="false">
      <c r="A200" s="10" t="s">
        <v>921</v>
      </c>
      <c r="B200" s="10" t="s">
        <v>833</v>
      </c>
      <c r="C200" s="10" t="s">
        <v>922</v>
      </c>
      <c r="D200" s="10" t="s">
        <v>923</v>
      </c>
      <c r="E200" s="10" t="s">
        <v>924</v>
      </c>
      <c r="F200" s="11" t="s">
        <v>99</v>
      </c>
      <c r="G200" s="11" t="n">
        <v>2</v>
      </c>
      <c r="H200" s="11" t="s">
        <v>100</v>
      </c>
      <c r="I200" s="11" t="s">
        <v>144</v>
      </c>
      <c r="J200" s="11" t="s">
        <v>91</v>
      </c>
      <c r="K200" s="10" t="s">
        <v>145</v>
      </c>
      <c r="L200" s="10" t="s">
        <v>837</v>
      </c>
      <c r="M200" s="11" t="s">
        <v>94</v>
      </c>
    </row>
    <row r="201" customFormat="false" ht="23.85" hidden="false" customHeight="false" outlineLevel="0" collapsed="false">
      <c r="A201" s="10" t="s">
        <v>925</v>
      </c>
      <c r="B201" s="10" t="s">
        <v>833</v>
      </c>
      <c r="C201" s="10" t="s">
        <v>926</v>
      </c>
      <c r="D201" s="10" t="s">
        <v>927</v>
      </c>
      <c r="E201" s="10" t="s">
        <v>403</v>
      </c>
      <c r="F201" s="11" t="s">
        <v>105</v>
      </c>
      <c r="G201" s="11" t="n">
        <v>2</v>
      </c>
      <c r="H201" s="11" t="s">
        <v>89</v>
      </c>
      <c r="I201" s="11" t="s">
        <v>144</v>
      </c>
      <c r="J201" s="11" t="s">
        <v>91</v>
      </c>
      <c r="K201" s="10" t="s">
        <v>145</v>
      </c>
      <c r="L201" s="10" t="s">
        <v>837</v>
      </c>
      <c r="M201" s="11" t="s">
        <v>94</v>
      </c>
    </row>
    <row r="202" customFormat="false" ht="23.85" hidden="false" customHeight="false" outlineLevel="0" collapsed="false">
      <c r="A202" s="10" t="s">
        <v>928</v>
      </c>
      <c r="B202" s="10" t="s">
        <v>833</v>
      </c>
      <c r="C202" s="10" t="s">
        <v>929</v>
      </c>
      <c r="D202" s="10" t="s">
        <v>930</v>
      </c>
      <c r="E202" s="10" t="s">
        <v>403</v>
      </c>
      <c r="F202" s="11" t="s">
        <v>105</v>
      </c>
      <c r="G202" s="11" t="n">
        <v>4</v>
      </c>
      <c r="H202" s="11" t="s">
        <v>100</v>
      </c>
      <c r="I202" s="11" t="s">
        <v>144</v>
      </c>
      <c r="J202" s="11" t="s">
        <v>91</v>
      </c>
      <c r="K202" s="10" t="s">
        <v>434</v>
      </c>
      <c r="L202" s="10" t="s">
        <v>837</v>
      </c>
      <c r="M202" s="11" t="s">
        <v>94</v>
      </c>
    </row>
    <row r="203" customFormat="false" ht="23.85" hidden="false" customHeight="false" outlineLevel="0" collapsed="false">
      <c r="A203" s="10" t="s">
        <v>931</v>
      </c>
      <c r="B203" s="10" t="s">
        <v>833</v>
      </c>
      <c r="C203" s="10" t="s">
        <v>932</v>
      </c>
      <c r="D203" s="10" t="s">
        <v>933</v>
      </c>
      <c r="E203" s="10" t="s">
        <v>154</v>
      </c>
      <c r="F203" s="11" t="s">
        <v>105</v>
      </c>
      <c r="G203" s="11" t="n">
        <v>2</v>
      </c>
      <c r="H203" s="11" t="s">
        <v>100</v>
      </c>
      <c r="I203" s="11" t="s">
        <v>172</v>
      </c>
      <c r="J203" s="11" t="s">
        <v>176</v>
      </c>
      <c r="K203" s="10" t="s">
        <v>177</v>
      </c>
      <c r="L203" s="10" t="s">
        <v>837</v>
      </c>
      <c r="M203" s="11" t="s">
        <v>157</v>
      </c>
    </row>
    <row r="204" customFormat="false" ht="23.85" hidden="false" customHeight="false" outlineLevel="0" collapsed="false">
      <c r="A204" s="10" t="s">
        <v>934</v>
      </c>
      <c r="B204" s="10" t="s">
        <v>935</v>
      </c>
      <c r="C204" s="10" t="s">
        <v>936</v>
      </c>
      <c r="D204" s="10" t="s">
        <v>937</v>
      </c>
      <c r="E204" s="10" t="s">
        <v>938</v>
      </c>
      <c r="F204" s="11" t="s">
        <v>99</v>
      </c>
      <c r="G204" s="11" t="n">
        <v>4</v>
      </c>
      <c r="H204" s="11" t="s">
        <v>100</v>
      </c>
      <c r="I204" s="11" t="s">
        <v>90</v>
      </c>
      <c r="J204" s="11" t="s">
        <v>91</v>
      </c>
      <c r="K204" s="10" t="s">
        <v>123</v>
      </c>
      <c r="L204" s="10" t="s">
        <v>939</v>
      </c>
      <c r="M204" s="11" t="s">
        <v>94</v>
      </c>
    </row>
    <row r="205" customFormat="false" ht="23.85" hidden="false" customHeight="false" outlineLevel="0" collapsed="false">
      <c r="A205" s="10" t="s">
        <v>940</v>
      </c>
      <c r="B205" s="10" t="s">
        <v>935</v>
      </c>
      <c r="C205" s="10" t="s">
        <v>941</v>
      </c>
      <c r="D205" s="10" t="s">
        <v>942</v>
      </c>
      <c r="E205" s="10" t="s">
        <v>943</v>
      </c>
      <c r="F205" s="11" t="s">
        <v>99</v>
      </c>
      <c r="G205" s="11" t="n">
        <v>5</v>
      </c>
      <c r="H205" s="11" t="s">
        <v>100</v>
      </c>
      <c r="I205" s="11" t="s">
        <v>90</v>
      </c>
      <c r="J205" s="11" t="s">
        <v>91</v>
      </c>
      <c r="K205" s="10" t="s">
        <v>944</v>
      </c>
      <c r="L205" s="10" t="s">
        <v>939</v>
      </c>
      <c r="M205" s="11" t="s">
        <v>94</v>
      </c>
    </row>
    <row r="206" customFormat="false" ht="23.85" hidden="false" customHeight="false" outlineLevel="0" collapsed="false">
      <c r="A206" s="10" t="s">
        <v>945</v>
      </c>
      <c r="B206" s="10" t="s">
        <v>935</v>
      </c>
      <c r="C206" s="10" t="s">
        <v>946</v>
      </c>
      <c r="D206" s="10" t="s">
        <v>947</v>
      </c>
      <c r="E206" s="10" t="s">
        <v>948</v>
      </c>
      <c r="F206" s="11" t="s">
        <v>99</v>
      </c>
      <c r="G206" s="11" t="n">
        <v>4</v>
      </c>
      <c r="H206" s="11" t="s">
        <v>143</v>
      </c>
      <c r="I206" s="11" t="s">
        <v>106</v>
      </c>
      <c r="J206" s="11" t="s">
        <v>91</v>
      </c>
      <c r="K206" s="10" t="s">
        <v>236</v>
      </c>
      <c r="L206" s="10" t="s">
        <v>939</v>
      </c>
      <c r="M206" s="11" t="s">
        <v>94</v>
      </c>
    </row>
    <row r="207" customFormat="false" ht="23.85" hidden="false" customHeight="false" outlineLevel="0" collapsed="false">
      <c r="A207" s="10" t="s">
        <v>949</v>
      </c>
      <c r="B207" s="10" t="s">
        <v>935</v>
      </c>
      <c r="C207" s="10" t="s">
        <v>950</v>
      </c>
      <c r="D207" s="10" t="s">
        <v>951</v>
      </c>
      <c r="E207" s="10" t="s">
        <v>952</v>
      </c>
      <c r="F207" s="11" t="s">
        <v>99</v>
      </c>
      <c r="G207" s="11" t="n">
        <v>4</v>
      </c>
      <c r="H207" s="11" t="s">
        <v>143</v>
      </c>
      <c r="I207" s="11" t="s">
        <v>106</v>
      </c>
      <c r="J207" s="11" t="s">
        <v>91</v>
      </c>
      <c r="K207" s="10" t="s">
        <v>540</v>
      </c>
      <c r="L207" s="10" t="s">
        <v>939</v>
      </c>
      <c r="M207" s="11" t="s">
        <v>94</v>
      </c>
    </row>
    <row r="208" customFormat="false" ht="23.85" hidden="false" customHeight="false" outlineLevel="0" collapsed="false">
      <c r="A208" s="10" t="s">
        <v>953</v>
      </c>
      <c r="B208" s="10" t="s">
        <v>935</v>
      </c>
      <c r="C208" s="10" t="s">
        <v>954</v>
      </c>
      <c r="D208" s="10" t="s">
        <v>955</v>
      </c>
      <c r="E208" s="10" t="s">
        <v>956</v>
      </c>
      <c r="F208" s="11" t="s">
        <v>99</v>
      </c>
      <c r="G208" s="11" t="n">
        <v>3</v>
      </c>
      <c r="H208" s="11" t="s">
        <v>100</v>
      </c>
      <c r="I208" s="11" t="s">
        <v>106</v>
      </c>
      <c r="J208" s="11" t="s">
        <v>91</v>
      </c>
      <c r="K208" s="10" t="s">
        <v>145</v>
      </c>
      <c r="L208" s="10" t="s">
        <v>939</v>
      </c>
      <c r="M208" s="11" t="s">
        <v>94</v>
      </c>
    </row>
    <row r="209" customFormat="false" ht="23.85" hidden="false" customHeight="false" outlineLevel="0" collapsed="false">
      <c r="A209" s="10" t="s">
        <v>957</v>
      </c>
      <c r="B209" s="10" t="s">
        <v>935</v>
      </c>
      <c r="C209" s="10" t="s">
        <v>958</v>
      </c>
      <c r="D209" s="10" t="s">
        <v>959</v>
      </c>
      <c r="E209" s="10" t="s">
        <v>403</v>
      </c>
      <c r="F209" s="11" t="s">
        <v>105</v>
      </c>
      <c r="G209" s="11" t="n">
        <v>3</v>
      </c>
      <c r="H209" s="11" t="s">
        <v>100</v>
      </c>
      <c r="I209" s="11" t="s">
        <v>106</v>
      </c>
      <c r="J209" s="11" t="s">
        <v>91</v>
      </c>
      <c r="K209" s="10" t="s">
        <v>960</v>
      </c>
      <c r="L209" s="10" t="s">
        <v>939</v>
      </c>
      <c r="M209" s="11" t="s">
        <v>94</v>
      </c>
    </row>
    <row r="210" customFormat="false" ht="23.85" hidden="false" customHeight="false" outlineLevel="0" collapsed="false">
      <c r="A210" s="10" t="s">
        <v>961</v>
      </c>
      <c r="B210" s="10" t="s">
        <v>935</v>
      </c>
      <c r="C210" s="10" t="s">
        <v>962</v>
      </c>
      <c r="D210" s="10" t="s">
        <v>963</v>
      </c>
      <c r="E210" s="10" t="s">
        <v>964</v>
      </c>
      <c r="F210" s="11" t="s">
        <v>99</v>
      </c>
      <c r="G210" s="11" t="n">
        <v>4</v>
      </c>
      <c r="H210" s="11" t="s">
        <v>100</v>
      </c>
      <c r="I210" s="11" t="s">
        <v>106</v>
      </c>
      <c r="J210" s="11" t="s">
        <v>91</v>
      </c>
      <c r="K210" s="10" t="s">
        <v>965</v>
      </c>
      <c r="L210" s="10" t="s">
        <v>939</v>
      </c>
      <c r="M210" s="11" t="s">
        <v>94</v>
      </c>
    </row>
    <row r="211" customFormat="false" ht="23.85" hidden="false" customHeight="false" outlineLevel="0" collapsed="false">
      <c r="A211" s="10" t="s">
        <v>966</v>
      </c>
      <c r="B211" s="10" t="s">
        <v>935</v>
      </c>
      <c r="C211" s="10" t="s">
        <v>967</v>
      </c>
      <c r="D211" s="10" t="s">
        <v>968</v>
      </c>
      <c r="E211" s="10" t="s">
        <v>403</v>
      </c>
      <c r="F211" s="11" t="s">
        <v>105</v>
      </c>
      <c r="G211" s="11" t="n">
        <v>5</v>
      </c>
      <c r="H211" s="11" t="s">
        <v>143</v>
      </c>
      <c r="I211" s="11" t="s">
        <v>106</v>
      </c>
      <c r="J211" s="11" t="s">
        <v>91</v>
      </c>
      <c r="K211" s="10" t="s">
        <v>969</v>
      </c>
      <c r="L211" s="10" t="s">
        <v>939</v>
      </c>
      <c r="M211" s="11" t="s">
        <v>94</v>
      </c>
    </row>
    <row r="212" customFormat="false" ht="23.85" hidden="false" customHeight="false" outlineLevel="0" collapsed="false">
      <c r="A212" s="10" t="s">
        <v>970</v>
      </c>
      <c r="B212" s="10" t="s">
        <v>935</v>
      </c>
      <c r="C212" s="10" t="s">
        <v>971</v>
      </c>
      <c r="D212" s="10" t="s">
        <v>972</v>
      </c>
      <c r="E212" s="10" t="s">
        <v>973</v>
      </c>
      <c r="F212" s="11" t="s">
        <v>99</v>
      </c>
      <c r="G212" s="11" t="n">
        <v>4</v>
      </c>
      <c r="H212" s="11" t="s">
        <v>89</v>
      </c>
      <c r="I212" s="11" t="s">
        <v>106</v>
      </c>
      <c r="J212" s="11" t="s">
        <v>91</v>
      </c>
      <c r="K212" s="10" t="s">
        <v>217</v>
      </c>
      <c r="L212" s="10" t="s">
        <v>974</v>
      </c>
      <c r="M212" s="11" t="s">
        <v>94</v>
      </c>
    </row>
    <row r="213" customFormat="false" ht="23.85" hidden="false" customHeight="false" outlineLevel="0" collapsed="false">
      <c r="A213" s="10" t="s">
        <v>975</v>
      </c>
      <c r="B213" s="10" t="s">
        <v>935</v>
      </c>
      <c r="C213" s="10" t="s">
        <v>976</v>
      </c>
      <c r="D213" s="10" t="s">
        <v>977</v>
      </c>
      <c r="E213" s="10" t="s">
        <v>978</v>
      </c>
      <c r="F213" s="11" t="s">
        <v>99</v>
      </c>
      <c r="G213" s="11" t="n">
        <v>4</v>
      </c>
      <c r="H213" s="11" t="s">
        <v>100</v>
      </c>
      <c r="I213" s="11" t="s">
        <v>106</v>
      </c>
      <c r="J213" s="11" t="s">
        <v>91</v>
      </c>
      <c r="K213" s="10" t="s">
        <v>254</v>
      </c>
      <c r="L213" s="10" t="s">
        <v>939</v>
      </c>
      <c r="M213" s="11" t="s">
        <v>94</v>
      </c>
    </row>
    <row r="214" customFormat="false" ht="23.85" hidden="false" customHeight="false" outlineLevel="0" collapsed="false">
      <c r="A214" s="10" t="s">
        <v>979</v>
      </c>
      <c r="B214" s="10" t="s">
        <v>935</v>
      </c>
      <c r="C214" s="10" t="s">
        <v>980</v>
      </c>
      <c r="D214" s="10" t="s">
        <v>981</v>
      </c>
      <c r="E214" s="10" t="s">
        <v>982</v>
      </c>
      <c r="F214" s="11" t="s">
        <v>88</v>
      </c>
      <c r="G214" s="11" t="n">
        <v>3</v>
      </c>
      <c r="H214" s="11" t="s">
        <v>89</v>
      </c>
      <c r="I214" s="11" t="s">
        <v>106</v>
      </c>
      <c r="J214" s="11" t="s">
        <v>91</v>
      </c>
      <c r="K214" s="10" t="s">
        <v>107</v>
      </c>
      <c r="L214" s="10" t="s">
        <v>939</v>
      </c>
      <c r="M214" s="11" t="s">
        <v>94</v>
      </c>
    </row>
    <row r="215" customFormat="false" ht="15" hidden="false" customHeight="false" outlineLevel="0" collapsed="false">
      <c r="A215" s="10" t="s">
        <v>983</v>
      </c>
      <c r="B215" s="10" t="s">
        <v>935</v>
      </c>
      <c r="C215" s="10" t="s">
        <v>984</v>
      </c>
      <c r="D215" s="10" t="s">
        <v>985</v>
      </c>
      <c r="E215" s="10" t="s">
        <v>986</v>
      </c>
      <c r="F215" s="11" t="s">
        <v>88</v>
      </c>
      <c r="G215" s="11" t="n">
        <v>2</v>
      </c>
      <c r="H215" s="11" t="s">
        <v>89</v>
      </c>
      <c r="I215" s="11" t="s">
        <v>106</v>
      </c>
      <c r="J215" s="11" t="s">
        <v>91</v>
      </c>
      <c r="K215" s="10" t="s">
        <v>254</v>
      </c>
      <c r="L215" s="10" t="s">
        <v>987</v>
      </c>
      <c r="M215" s="11" t="s">
        <v>94</v>
      </c>
    </row>
    <row r="216" customFormat="false" ht="23.85" hidden="false" customHeight="false" outlineLevel="0" collapsed="false">
      <c r="A216" s="10" t="s">
        <v>988</v>
      </c>
      <c r="B216" s="10" t="s">
        <v>935</v>
      </c>
      <c r="C216" s="10" t="s">
        <v>989</v>
      </c>
      <c r="D216" s="10" t="s">
        <v>990</v>
      </c>
      <c r="E216" s="10" t="s">
        <v>991</v>
      </c>
      <c r="F216" s="11" t="s">
        <v>99</v>
      </c>
      <c r="G216" s="11" t="n">
        <v>3</v>
      </c>
      <c r="H216" s="11" t="s">
        <v>89</v>
      </c>
      <c r="I216" s="11" t="s">
        <v>106</v>
      </c>
      <c r="J216" s="11" t="s">
        <v>91</v>
      </c>
      <c r="K216" s="10" t="s">
        <v>540</v>
      </c>
      <c r="L216" s="10" t="s">
        <v>992</v>
      </c>
      <c r="M216" s="11" t="s">
        <v>94</v>
      </c>
    </row>
    <row r="217" customFormat="false" ht="23.85" hidden="false" customHeight="false" outlineLevel="0" collapsed="false">
      <c r="A217" s="10" t="s">
        <v>993</v>
      </c>
      <c r="B217" s="10" t="s">
        <v>935</v>
      </c>
      <c r="C217" s="10" t="s">
        <v>994</v>
      </c>
      <c r="D217" s="10" t="s">
        <v>995</v>
      </c>
      <c r="E217" s="10" t="s">
        <v>403</v>
      </c>
      <c r="F217" s="11" t="s">
        <v>105</v>
      </c>
      <c r="G217" s="11" t="n">
        <v>4</v>
      </c>
      <c r="H217" s="11" t="s">
        <v>143</v>
      </c>
      <c r="I217" s="11" t="s">
        <v>106</v>
      </c>
      <c r="J217" s="11" t="s">
        <v>91</v>
      </c>
      <c r="K217" s="10" t="s">
        <v>996</v>
      </c>
      <c r="L217" s="10" t="s">
        <v>939</v>
      </c>
      <c r="M217" s="11" t="s">
        <v>94</v>
      </c>
    </row>
    <row r="218" customFormat="false" ht="23.85" hidden="false" customHeight="false" outlineLevel="0" collapsed="false">
      <c r="A218" s="10" t="s">
        <v>997</v>
      </c>
      <c r="B218" s="10" t="s">
        <v>935</v>
      </c>
      <c r="C218" s="10" t="s">
        <v>998</v>
      </c>
      <c r="D218" s="10" t="s">
        <v>999</v>
      </c>
      <c r="E218" s="10" t="s">
        <v>403</v>
      </c>
      <c r="F218" s="11" t="s">
        <v>105</v>
      </c>
      <c r="G218" s="11" t="n">
        <v>3</v>
      </c>
      <c r="H218" s="11" t="s">
        <v>100</v>
      </c>
      <c r="I218" s="11" t="s">
        <v>144</v>
      </c>
      <c r="J218" s="11" t="s">
        <v>91</v>
      </c>
      <c r="K218" s="10" t="s">
        <v>996</v>
      </c>
      <c r="L218" s="10" t="s">
        <v>939</v>
      </c>
      <c r="M218" s="11" t="s">
        <v>94</v>
      </c>
    </row>
    <row r="219" customFormat="false" ht="23.85" hidden="false" customHeight="false" outlineLevel="0" collapsed="false">
      <c r="A219" s="10" t="s">
        <v>1000</v>
      </c>
      <c r="B219" s="10" t="s">
        <v>935</v>
      </c>
      <c r="C219" s="10" t="s">
        <v>1001</v>
      </c>
      <c r="D219" s="10" t="s">
        <v>1002</v>
      </c>
      <c r="E219" s="10" t="s">
        <v>154</v>
      </c>
      <c r="F219" s="11" t="s">
        <v>105</v>
      </c>
      <c r="G219" s="11" t="n">
        <v>2</v>
      </c>
      <c r="H219" s="11" t="s">
        <v>89</v>
      </c>
      <c r="I219" s="11" t="s">
        <v>144</v>
      </c>
      <c r="J219" s="11" t="s">
        <v>805</v>
      </c>
      <c r="K219" s="10" t="s">
        <v>177</v>
      </c>
      <c r="L219" s="10" t="s">
        <v>939</v>
      </c>
      <c r="M219" s="11" t="s">
        <v>157</v>
      </c>
    </row>
    <row r="220" customFormat="false" ht="23.85" hidden="false" customHeight="false" outlineLevel="0" collapsed="false">
      <c r="A220" s="10" t="s">
        <v>1003</v>
      </c>
      <c r="B220" s="10" t="s">
        <v>935</v>
      </c>
      <c r="C220" s="10" t="s">
        <v>1004</v>
      </c>
      <c r="D220" s="10" t="s">
        <v>1005</v>
      </c>
      <c r="E220" s="10" t="s">
        <v>1006</v>
      </c>
      <c r="F220" s="11" t="s">
        <v>88</v>
      </c>
      <c r="G220" s="11" t="n">
        <v>3</v>
      </c>
      <c r="H220" s="11" t="s">
        <v>100</v>
      </c>
      <c r="I220" s="11" t="s">
        <v>144</v>
      </c>
      <c r="J220" s="11" t="s">
        <v>91</v>
      </c>
      <c r="K220" s="10" t="s">
        <v>725</v>
      </c>
      <c r="L220" s="10" t="s">
        <v>939</v>
      </c>
      <c r="M220" s="11" t="s">
        <v>94</v>
      </c>
    </row>
    <row r="221" customFormat="false" ht="23.85" hidden="false" customHeight="false" outlineLevel="0" collapsed="false">
      <c r="A221" s="10" t="s">
        <v>1007</v>
      </c>
      <c r="B221" s="10" t="s">
        <v>935</v>
      </c>
      <c r="C221" s="10" t="s">
        <v>1008</v>
      </c>
      <c r="D221" s="10" t="s">
        <v>1009</v>
      </c>
      <c r="E221" s="10" t="s">
        <v>1010</v>
      </c>
      <c r="F221" s="11" t="s">
        <v>99</v>
      </c>
      <c r="G221" s="11" t="n">
        <v>4</v>
      </c>
      <c r="H221" s="11" t="s">
        <v>100</v>
      </c>
      <c r="I221" s="11" t="s">
        <v>144</v>
      </c>
      <c r="J221" s="11" t="s">
        <v>91</v>
      </c>
      <c r="K221" s="10" t="s">
        <v>907</v>
      </c>
      <c r="L221" s="10" t="s">
        <v>939</v>
      </c>
      <c r="M221" s="11" t="s">
        <v>94</v>
      </c>
    </row>
    <row r="222" customFormat="false" ht="15" hidden="false" customHeight="false" outlineLevel="0" collapsed="false">
      <c r="A222" s="10" t="s">
        <v>1011</v>
      </c>
      <c r="B222" s="10" t="s">
        <v>935</v>
      </c>
      <c r="C222" s="10" t="s">
        <v>1012</v>
      </c>
      <c r="D222" s="10" t="s">
        <v>1013</v>
      </c>
      <c r="E222" s="10" t="s">
        <v>403</v>
      </c>
      <c r="F222" s="11" t="s">
        <v>105</v>
      </c>
      <c r="G222" s="11" t="n">
        <v>2</v>
      </c>
      <c r="H222" s="11" t="s">
        <v>89</v>
      </c>
      <c r="I222" s="11" t="s">
        <v>144</v>
      </c>
      <c r="J222" s="11" t="s">
        <v>91</v>
      </c>
      <c r="K222" s="10" t="s">
        <v>1014</v>
      </c>
      <c r="L222" s="10" t="s">
        <v>974</v>
      </c>
      <c r="M222" s="11" t="s">
        <v>94</v>
      </c>
    </row>
    <row r="223" customFormat="false" ht="23.85" hidden="false" customHeight="false" outlineLevel="0" collapsed="false">
      <c r="A223" s="10" t="s">
        <v>1015</v>
      </c>
      <c r="B223" s="10" t="s">
        <v>1016</v>
      </c>
      <c r="C223" s="10" t="s">
        <v>1017</v>
      </c>
      <c r="D223" s="10" t="s">
        <v>1018</v>
      </c>
      <c r="E223" s="10" t="s">
        <v>1019</v>
      </c>
      <c r="F223" s="11" t="s">
        <v>99</v>
      </c>
      <c r="G223" s="11" t="n">
        <v>5</v>
      </c>
      <c r="H223" s="11" t="s">
        <v>241</v>
      </c>
      <c r="I223" s="11" t="s">
        <v>106</v>
      </c>
      <c r="J223" s="11" t="s">
        <v>91</v>
      </c>
      <c r="K223" s="10" t="s">
        <v>305</v>
      </c>
      <c r="L223" s="10" t="s">
        <v>1020</v>
      </c>
      <c r="M223" s="11" t="s">
        <v>94</v>
      </c>
    </row>
    <row r="224" customFormat="false" ht="23.85" hidden="false" customHeight="false" outlineLevel="0" collapsed="false">
      <c r="A224" s="10" t="s">
        <v>1021</v>
      </c>
      <c r="B224" s="10" t="s">
        <v>1016</v>
      </c>
      <c r="C224" s="10" t="s">
        <v>1022</v>
      </c>
      <c r="D224" s="10" t="s">
        <v>1023</v>
      </c>
      <c r="E224" s="10" t="s">
        <v>1024</v>
      </c>
      <c r="F224" s="11" t="s">
        <v>99</v>
      </c>
      <c r="G224" s="11" t="n">
        <v>4</v>
      </c>
      <c r="H224" s="11" t="s">
        <v>143</v>
      </c>
      <c r="I224" s="11" t="s">
        <v>106</v>
      </c>
      <c r="J224" s="11" t="s">
        <v>91</v>
      </c>
      <c r="K224" s="10" t="s">
        <v>145</v>
      </c>
      <c r="L224" s="10" t="s">
        <v>1020</v>
      </c>
      <c r="M224" s="11" t="s">
        <v>94</v>
      </c>
    </row>
    <row r="225" customFormat="false" ht="23.85" hidden="false" customHeight="false" outlineLevel="0" collapsed="false">
      <c r="A225" s="10" t="s">
        <v>1025</v>
      </c>
      <c r="B225" s="10" t="s">
        <v>1016</v>
      </c>
      <c r="C225" s="10" t="s">
        <v>1026</v>
      </c>
      <c r="D225" s="10" t="s">
        <v>1027</v>
      </c>
      <c r="E225" s="10" t="s">
        <v>403</v>
      </c>
      <c r="F225" s="11" t="s">
        <v>105</v>
      </c>
      <c r="G225" s="11" t="n">
        <v>4</v>
      </c>
      <c r="H225" s="11" t="s">
        <v>100</v>
      </c>
      <c r="I225" s="11" t="s">
        <v>106</v>
      </c>
      <c r="J225" s="11" t="s">
        <v>91</v>
      </c>
      <c r="K225" s="10" t="s">
        <v>145</v>
      </c>
      <c r="L225" s="10" t="s">
        <v>1020</v>
      </c>
      <c r="M225" s="11" t="s">
        <v>94</v>
      </c>
    </row>
    <row r="226" customFormat="false" ht="23.85" hidden="false" customHeight="false" outlineLevel="0" collapsed="false">
      <c r="A226" s="10" t="s">
        <v>1028</v>
      </c>
      <c r="B226" s="10" t="s">
        <v>1016</v>
      </c>
      <c r="C226" s="10" t="s">
        <v>1029</v>
      </c>
      <c r="D226" s="10" t="s">
        <v>1030</v>
      </c>
      <c r="E226" s="10" t="s">
        <v>1024</v>
      </c>
      <c r="F226" s="11" t="s">
        <v>99</v>
      </c>
      <c r="G226" s="11" t="n">
        <v>3</v>
      </c>
      <c r="H226" s="11" t="s">
        <v>143</v>
      </c>
      <c r="I226" s="11" t="s">
        <v>144</v>
      </c>
      <c r="J226" s="11" t="s">
        <v>91</v>
      </c>
      <c r="K226" s="10" t="s">
        <v>145</v>
      </c>
      <c r="L226" s="10" t="s">
        <v>1020</v>
      </c>
      <c r="M226" s="11" t="s">
        <v>94</v>
      </c>
    </row>
    <row r="227" customFormat="false" ht="23.85" hidden="false" customHeight="false" outlineLevel="0" collapsed="false">
      <c r="A227" s="10" t="s">
        <v>1031</v>
      </c>
      <c r="B227" s="10" t="s">
        <v>1016</v>
      </c>
      <c r="C227" s="10" t="s">
        <v>1032</v>
      </c>
      <c r="D227" s="10" t="s">
        <v>1033</v>
      </c>
      <c r="E227" s="10" t="s">
        <v>1024</v>
      </c>
      <c r="F227" s="11" t="s">
        <v>99</v>
      </c>
      <c r="G227" s="11" t="n">
        <v>2</v>
      </c>
      <c r="H227" s="11" t="s">
        <v>143</v>
      </c>
      <c r="I227" s="11" t="s">
        <v>172</v>
      </c>
      <c r="J227" s="11" t="s">
        <v>91</v>
      </c>
      <c r="K227" s="10" t="s">
        <v>145</v>
      </c>
      <c r="L227" s="10" t="s">
        <v>1020</v>
      </c>
      <c r="M227" s="11" t="s">
        <v>94</v>
      </c>
    </row>
    <row r="228" customFormat="false" ht="23.85" hidden="false" customHeight="false" outlineLevel="0" collapsed="false">
      <c r="A228" s="10" t="s">
        <v>1034</v>
      </c>
      <c r="B228" s="10" t="s">
        <v>1016</v>
      </c>
      <c r="C228" s="10" t="s">
        <v>1035</v>
      </c>
      <c r="D228" s="10" t="s">
        <v>1036</v>
      </c>
      <c r="E228" s="10" t="s">
        <v>1037</v>
      </c>
      <c r="F228" s="11" t="s">
        <v>99</v>
      </c>
      <c r="G228" s="11" t="n">
        <v>4</v>
      </c>
      <c r="H228" s="11" t="s">
        <v>143</v>
      </c>
      <c r="I228" s="11" t="s">
        <v>144</v>
      </c>
      <c r="J228" s="11" t="s">
        <v>91</v>
      </c>
      <c r="K228" s="10" t="s">
        <v>1038</v>
      </c>
      <c r="L228" s="10" t="s">
        <v>1020</v>
      </c>
      <c r="M228" s="11" t="s">
        <v>94</v>
      </c>
    </row>
    <row r="229" customFormat="false" ht="23.85" hidden="false" customHeight="false" outlineLevel="0" collapsed="false">
      <c r="A229" s="10" t="s">
        <v>1039</v>
      </c>
      <c r="B229" s="10" t="s">
        <v>1016</v>
      </c>
      <c r="C229" s="10" t="s">
        <v>1040</v>
      </c>
      <c r="D229" s="10" t="s">
        <v>1041</v>
      </c>
      <c r="E229" s="10" t="s">
        <v>403</v>
      </c>
      <c r="F229" s="11" t="s">
        <v>105</v>
      </c>
      <c r="G229" s="11" t="n">
        <v>3</v>
      </c>
      <c r="H229" s="11" t="s">
        <v>100</v>
      </c>
      <c r="I229" s="11" t="s">
        <v>144</v>
      </c>
      <c r="J229" s="11" t="s">
        <v>91</v>
      </c>
      <c r="K229" s="10" t="s">
        <v>145</v>
      </c>
      <c r="L229" s="10" t="s">
        <v>1020</v>
      </c>
      <c r="M229" s="11" t="s">
        <v>94</v>
      </c>
    </row>
    <row r="230" customFormat="false" ht="23.85" hidden="false" customHeight="false" outlineLevel="0" collapsed="false">
      <c r="A230" s="10" t="s">
        <v>1042</v>
      </c>
      <c r="B230" s="10" t="s">
        <v>1016</v>
      </c>
      <c r="C230" s="10" t="s">
        <v>1043</v>
      </c>
      <c r="D230" s="10" t="s">
        <v>1044</v>
      </c>
      <c r="E230" s="10" t="s">
        <v>1045</v>
      </c>
      <c r="F230" s="11" t="s">
        <v>88</v>
      </c>
      <c r="G230" s="11" t="n">
        <v>3</v>
      </c>
      <c r="H230" s="11" t="s">
        <v>89</v>
      </c>
      <c r="I230" s="11" t="s">
        <v>144</v>
      </c>
      <c r="J230" s="11" t="s">
        <v>91</v>
      </c>
      <c r="K230" s="10" t="s">
        <v>533</v>
      </c>
      <c r="L230" s="10" t="s">
        <v>1046</v>
      </c>
      <c r="M230" s="11" t="s">
        <v>94</v>
      </c>
    </row>
    <row r="231" customFormat="false" ht="23.85" hidden="false" customHeight="false" outlineLevel="0" collapsed="false">
      <c r="A231" s="10" t="s">
        <v>1047</v>
      </c>
      <c r="B231" s="10" t="s">
        <v>1016</v>
      </c>
      <c r="C231" s="10" t="s">
        <v>1048</v>
      </c>
      <c r="D231" s="10" t="s">
        <v>1049</v>
      </c>
      <c r="E231" s="10" t="s">
        <v>1050</v>
      </c>
      <c r="F231" s="11" t="s">
        <v>99</v>
      </c>
      <c r="G231" s="11" t="n">
        <v>4</v>
      </c>
      <c r="H231" s="11" t="s">
        <v>143</v>
      </c>
      <c r="I231" s="11" t="s">
        <v>144</v>
      </c>
      <c r="J231" s="11" t="s">
        <v>91</v>
      </c>
      <c r="K231" s="10" t="s">
        <v>1051</v>
      </c>
      <c r="L231" s="10" t="s">
        <v>1020</v>
      </c>
      <c r="M231" s="11" t="s">
        <v>94</v>
      </c>
    </row>
    <row r="232" customFormat="false" ht="23.85" hidden="false" customHeight="false" outlineLevel="0" collapsed="false">
      <c r="A232" s="10" t="s">
        <v>1052</v>
      </c>
      <c r="B232" s="10" t="s">
        <v>1016</v>
      </c>
      <c r="C232" s="10" t="s">
        <v>1053</v>
      </c>
      <c r="D232" s="10" t="s">
        <v>1054</v>
      </c>
      <c r="E232" s="10" t="s">
        <v>403</v>
      </c>
      <c r="F232" s="11" t="s">
        <v>105</v>
      </c>
      <c r="G232" s="11" t="n">
        <v>3</v>
      </c>
      <c r="H232" s="11" t="s">
        <v>100</v>
      </c>
      <c r="I232" s="11" t="s">
        <v>144</v>
      </c>
      <c r="J232" s="11" t="s">
        <v>91</v>
      </c>
      <c r="K232" s="10" t="s">
        <v>1055</v>
      </c>
      <c r="L232" s="10" t="s">
        <v>1020</v>
      </c>
      <c r="M232" s="11" t="s">
        <v>94</v>
      </c>
    </row>
    <row r="233" customFormat="false" ht="23.85" hidden="false" customHeight="false" outlineLevel="0" collapsed="false">
      <c r="A233" s="10" t="s">
        <v>1056</v>
      </c>
      <c r="B233" s="10" t="s">
        <v>1016</v>
      </c>
      <c r="C233" s="10" t="s">
        <v>1057</v>
      </c>
      <c r="D233" s="10" t="s">
        <v>1058</v>
      </c>
      <c r="E233" s="10" t="s">
        <v>765</v>
      </c>
      <c r="F233" s="11" t="s">
        <v>105</v>
      </c>
      <c r="G233" s="11" t="n">
        <v>4</v>
      </c>
      <c r="H233" s="11" t="s">
        <v>143</v>
      </c>
      <c r="I233" s="11" t="s">
        <v>144</v>
      </c>
      <c r="J233" s="11" t="s">
        <v>91</v>
      </c>
      <c r="K233" s="10" t="s">
        <v>969</v>
      </c>
      <c r="L233" s="10" t="s">
        <v>1020</v>
      </c>
      <c r="M233" s="11" t="s">
        <v>94</v>
      </c>
    </row>
    <row r="234" customFormat="false" ht="23.85" hidden="false" customHeight="false" outlineLevel="0" collapsed="false">
      <c r="A234" s="10" t="s">
        <v>1059</v>
      </c>
      <c r="B234" s="10" t="s">
        <v>1016</v>
      </c>
      <c r="C234" s="10" t="s">
        <v>1060</v>
      </c>
      <c r="D234" s="10" t="s">
        <v>1061</v>
      </c>
      <c r="E234" s="10" t="s">
        <v>403</v>
      </c>
      <c r="F234" s="11" t="s">
        <v>105</v>
      </c>
      <c r="G234" s="11" t="n">
        <v>4</v>
      </c>
      <c r="H234" s="11" t="s">
        <v>241</v>
      </c>
      <c r="I234" s="11" t="s">
        <v>144</v>
      </c>
      <c r="J234" s="11" t="s">
        <v>91</v>
      </c>
      <c r="K234" s="10" t="s">
        <v>209</v>
      </c>
      <c r="L234" s="10" t="s">
        <v>1020</v>
      </c>
      <c r="M234" s="11" t="s">
        <v>94</v>
      </c>
    </row>
    <row r="235" customFormat="false" ht="23.85" hidden="false" customHeight="false" outlineLevel="0" collapsed="false">
      <c r="A235" s="10" t="s">
        <v>1062</v>
      </c>
      <c r="B235" s="10" t="s">
        <v>1016</v>
      </c>
      <c r="C235" s="10" t="s">
        <v>1063</v>
      </c>
      <c r="D235" s="10" t="s">
        <v>1064</v>
      </c>
      <c r="E235" s="10" t="s">
        <v>403</v>
      </c>
      <c r="F235" s="11" t="s">
        <v>105</v>
      </c>
      <c r="G235" s="11" t="n">
        <v>3</v>
      </c>
      <c r="H235" s="11" t="s">
        <v>143</v>
      </c>
      <c r="I235" s="11" t="s">
        <v>144</v>
      </c>
      <c r="J235" s="11" t="s">
        <v>91</v>
      </c>
      <c r="K235" s="10" t="s">
        <v>710</v>
      </c>
      <c r="L235" s="10" t="s">
        <v>1065</v>
      </c>
      <c r="M235" s="11" t="s">
        <v>94</v>
      </c>
    </row>
    <row r="236" customFormat="false" ht="23.85" hidden="false" customHeight="false" outlineLevel="0" collapsed="false">
      <c r="A236" s="10" t="s">
        <v>1066</v>
      </c>
      <c r="B236" s="10" t="s">
        <v>1016</v>
      </c>
      <c r="C236" s="10" t="s">
        <v>1067</v>
      </c>
      <c r="D236" s="10" t="s">
        <v>1068</v>
      </c>
      <c r="E236" s="10" t="s">
        <v>403</v>
      </c>
      <c r="F236" s="11" t="s">
        <v>105</v>
      </c>
      <c r="G236" s="11" t="n">
        <v>3</v>
      </c>
      <c r="H236" s="11" t="s">
        <v>100</v>
      </c>
      <c r="I236" s="11" t="s">
        <v>144</v>
      </c>
      <c r="J236" s="11" t="s">
        <v>91</v>
      </c>
      <c r="K236" s="10" t="s">
        <v>236</v>
      </c>
      <c r="L236" s="10" t="s">
        <v>1046</v>
      </c>
      <c r="M236" s="11" t="s">
        <v>94</v>
      </c>
    </row>
    <row r="237" customFormat="false" ht="23.85" hidden="false" customHeight="false" outlineLevel="0" collapsed="false">
      <c r="A237" s="10" t="s">
        <v>1069</v>
      </c>
      <c r="B237" s="10" t="s">
        <v>1016</v>
      </c>
      <c r="C237" s="10" t="s">
        <v>1070</v>
      </c>
      <c r="D237" s="10" t="s">
        <v>1071</v>
      </c>
      <c r="E237" s="10" t="s">
        <v>154</v>
      </c>
      <c r="F237" s="11" t="s">
        <v>105</v>
      </c>
      <c r="G237" s="11" t="n">
        <v>2</v>
      </c>
      <c r="H237" s="11" t="s">
        <v>100</v>
      </c>
      <c r="I237" s="11" t="s">
        <v>172</v>
      </c>
      <c r="J237" s="11" t="s">
        <v>176</v>
      </c>
      <c r="K237" s="10" t="s">
        <v>177</v>
      </c>
      <c r="L237" s="10" t="s">
        <v>1020</v>
      </c>
      <c r="M237" s="11" t="s">
        <v>157</v>
      </c>
    </row>
    <row r="238" customFormat="false" ht="23.85" hidden="false" customHeight="false" outlineLevel="0" collapsed="false">
      <c r="A238" s="10" t="s">
        <v>1072</v>
      </c>
      <c r="B238" s="10" t="s">
        <v>1073</v>
      </c>
      <c r="C238" s="10" t="s">
        <v>1074</v>
      </c>
      <c r="D238" s="10" t="s">
        <v>1075</v>
      </c>
      <c r="E238" s="10" t="s">
        <v>1076</v>
      </c>
      <c r="F238" s="11" t="s">
        <v>99</v>
      </c>
      <c r="G238" s="11" t="n">
        <v>5</v>
      </c>
      <c r="H238" s="11" t="s">
        <v>89</v>
      </c>
      <c r="I238" s="11" t="s">
        <v>106</v>
      </c>
      <c r="J238" s="11" t="s">
        <v>91</v>
      </c>
      <c r="K238" s="10" t="s">
        <v>217</v>
      </c>
      <c r="L238" s="10" t="s">
        <v>1077</v>
      </c>
      <c r="M238" s="11" t="s">
        <v>94</v>
      </c>
    </row>
    <row r="239" customFormat="false" ht="23.85" hidden="false" customHeight="false" outlineLevel="0" collapsed="false">
      <c r="A239" s="10" t="s">
        <v>1078</v>
      </c>
      <c r="B239" s="10" t="s">
        <v>1073</v>
      </c>
      <c r="C239" s="10" t="s">
        <v>1079</v>
      </c>
      <c r="D239" s="10" t="s">
        <v>1080</v>
      </c>
      <c r="E239" s="10" t="s">
        <v>403</v>
      </c>
      <c r="F239" s="11" t="s">
        <v>105</v>
      </c>
      <c r="G239" s="11" t="n">
        <v>4</v>
      </c>
      <c r="H239" s="11" t="s">
        <v>100</v>
      </c>
      <c r="I239" s="11" t="s">
        <v>106</v>
      </c>
      <c r="J239" s="11" t="s">
        <v>91</v>
      </c>
      <c r="K239" s="10" t="s">
        <v>907</v>
      </c>
      <c r="L239" s="10" t="s">
        <v>1077</v>
      </c>
      <c r="M239" s="11" t="s">
        <v>94</v>
      </c>
    </row>
    <row r="240" customFormat="false" ht="23.85" hidden="false" customHeight="false" outlineLevel="0" collapsed="false">
      <c r="A240" s="10" t="s">
        <v>1081</v>
      </c>
      <c r="B240" s="10" t="s">
        <v>1073</v>
      </c>
      <c r="C240" s="10" t="s">
        <v>1082</v>
      </c>
      <c r="D240" s="10" t="s">
        <v>1083</v>
      </c>
      <c r="E240" s="10" t="s">
        <v>1084</v>
      </c>
      <c r="F240" s="11" t="s">
        <v>99</v>
      </c>
      <c r="G240" s="11" t="n">
        <v>4</v>
      </c>
      <c r="H240" s="11" t="s">
        <v>100</v>
      </c>
      <c r="I240" s="11" t="s">
        <v>106</v>
      </c>
      <c r="J240" s="11" t="s">
        <v>91</v>
      </c>
      <c r="K240" s="10" t="s">
        <v>254</v>
      </c>
      <c r="L240" s="10" t="s">
        <v>1077</v>
      </c>
      <c r="M240" s="11" t="s">
        <v>94</v>
      </c>
    </row>
    <row r="241" customFormat="false" ht="23.85" hidden="false" customHeight="false" outlineLevel="0" collapsed="false">
      <c r="A241" s="10" t="s">
        <v>1085</v>
      </c>
      <c r="B241" s="10" t="s">
        <v>1073</v>
      </c>
      <c r="C241" s="10" t="s">
        <v>1086</v>
      </c>
      <c r="D241" s="10" t="s">
        <v>1087</v>
      </c>
      <c r="E241" s="10" t="s">
        <v>1088</v>
      </c>
      <c r="F241" s="11" t="s">
        <v>99</v>
      </c>
      <c r="G241" s="11" t="n">
        <v>5</v>
      </c>
      <c r="H241" s="11" t="s">
        <v>143</v>
      </c>
      <c r="I241" s="11" t="s">
        <v>106</v>
      </c>
      <c r="J241" s="11" t="s">
        <v>91</v>
      </c>
      <c r="K241" s="10" t="s">
        <v>254</v>
      </c>
      <c r="L241" s="10" t="s">
        <v>1077</v>
      </c>
      <c r="M241" s="11" t="s">
        <v>94</v>
      </c>
    </row>
    <row r="242" customFormat="false" ht="23.85" hidden="false" customHeight="false" outlineLevel="0" collapsed="false">
      <c r="A242" s="10" t="s">
        <v>1089</v>
      </c>
      <c r="B242" s="10" t="s">
        <v>1073</v>
      </c>
      <c r="C242" s="10" t="s">
        <v>1090</v>
      </c>
      <c r="D242" s="10" t="s">
        <v>1091</v>
      </c>
      <c r="E242" s="10" t="s">
        <v>1092</v>
      </c>
      <c r="F242" s="11" t="s">
        <v>99</v>
      </c>
      <c r="G242" s="11" t="n">
        <v>3</v>
      </c>
      <c r="H242" s="11" t="s">
        <v>89</v>
      </c>
      <c r="I242" s="11" t="s">
        <v>106</v>
      </c>
      <c r="J242" s="11" t="s">
        <v>91</v>
      </c>
      <c r="K242" s="10" t="s">
        <v>150</v>
      </c>
      <c r="L242" s="10" t="s">
        <v>1077</v>
      </c>
      <c r="M242" s="11" t="s">
        <v>94</v>
      </c>
    </row>
    <row r="243" customFormat="false" ht="23.85" hidden="false" customHeight="false" outlineLevel="0" collapsed="false">
      <c r="A243" s="10" t="s">
        <v>1093</v>
      </c>
      <c r="B243" s="10" t="s">
        <v>1073</v>
      </c>
      <c r="C243" s="10" t="s">
        <v>1094</v>
      </c>
      <c r="D243" s="10" t="s">
        <v>1095</v>
      </c>
      <c r="E243" s="10" t="s">
        <v>403</v>
      </c>
      <c r="F243" s="11" t="s">
        <v>105</v>
      </c>
      <c r="G243" s="11" t="n">
        <v>5</v>
      </c>
      <c r="H243" s="11" t="s">
        <v>143</v>
      </c>
      <c r="I243" s="11" t="s">
        <v>106</v>
      </c>
      <c r="J243" s="11" t="s">
        <v>91</v>
      </c>
      <c r="K243" s="10" t="s">
        <v>139</v>
      </c>
      <c r="L243" s="10" t="s">
        <v>1077</v>
      </c>
      <c r="M243" s="11" t="s">
        <v>94</v>
      </c>
    </row>
    <row r="244" customFormat="false" ht="23.85" hidden="false" customHeight="false" outlineLevel="0" collapsed="false">
      <c r="A244" s="10" t="s">
        <v>1096</v>
      </c>
      <c r="B244" s="10" t="s">
        <v>1073</v>
      </c>
      <c r="C244" s="10" t="s">
        <v>1097</v>
      </c>
      <c r="D244" s="10" t="s">
        <v>1098</v>
      </c>
      <c r="E244" s="10" t="s">
        <v>403</v>
      </c>
      <c r="F244" s="11" t="s">
        <v>105</v>
      </c>
      <c r="G244" s="11" t="n">
        <v>4</v>
      </c>
      <c r="H244" s="11" t="s">
        <v>89</v>
      </c>
      <c r="I244" s="11" t="s">
        <v>106</v>
      </c>
      <c r="J244" s="11" t="s">
        <v>91</v>
      </c>
      <c r="K244" s="10" t="s">
        <v>254</v>
      </c>
      <c r="L244" s="10" t="s">
        <v>1077</v>
      </c>
      <c r="M244" s="11" t="s">
        <v>94</v>
      </c>
    </row>
    <row r="245" customFormat="false" ht="23.85" hidden="false" customHeight="false" outlineLevel="0" collapsed="false">
      <c r="A245" s="10" t="s">
        <v>1099</v>
      </c>
      <c r="B245" s="10" t="s">
        <v>1073</v>
      </c>
      <c r="C245" s="10" t="s">
        <v>1100</v>
      </c>
      <c r="D245" s="10" t="s">
        <v>1101</v>
      </c>
      <c r="E245" s="10" t="s">
        <v>1102</v>
      </c>
      <c r="F245" s="11" t="s">
        <v>99</v>
      </c>
      <c r="G245" s="11" t="n">
        <v>4</v>
      </c>
      <c r="H245" s="11" t="s">
        <v>100</v>
      </c>
      <c r="I245" s="11" t="s">
        <v>106</v>
      </c>
      <c r="J245" s="11" t="s">
        <v>91</v>
      </c>
      <c r="K245" s="10" t="s">
        <v>533</v>
      </c>
      <c r="L245" s="10" t="s">
        <v>1077</v>
      </c>
      <c r="M245" s="11" t="s">
        <v>94</v>
      </c>
    </row>
    <row r="246" customFormat="false" ht="15" hidden="false" customHeight="false" outlineLevel="0" collapsed="false">
      <c r="A246" s="10" t="s">
        <v>1103</v>
      </c>
      <c r="B246" s="10" t="s">
        <v>1073</v>
      </c>
      <c r="C246" s="10" t="s">
        <v>1104</v>
      </c>
      <c r="D246" s="10" t="s">
        <v>1105</v>
      </c>
      <c r="E246" s="10" t="s">
        <v>403</v>
      </c>
      <c r="F246" s="11" t="s">
        <v>105</v>
      </c>
      <c r="G246" s="11" t="n">
        <v>3</v>
      </c>
      <c r="H246" s="11" t="s">
        <v>89</v>
      </c>
      <c r="I246" s="11" t="s">
        <v>144</v>
      </c>
      <c r="J246" s="11" t="s">
        <v>91</v>
      </c>
      <c r="K246" s="10" t="s">
        <v>1106</v>
      </c>
      <c r="L246" s="10" t="s">
        <v>1107</v>
      </c>
      <c r="M246" s="11" t="s">
        <v>94</v>
      </c>
    </row>
    <row r="247" customFormat="false" ht="23.85" hidden="false" customHeight="false" outlineLevel="0" collapsed="false">
      <c r="A247" s="10" t="s">
        <v>1108</v>
      </c>
      <c r="B247" s="10" t="s">
        <v>1073</v>
      </c>
      <c r="C247" s="10" t="s">
        <v>1109</v>
      </c>
      <c r="D247" s="10" t="s">
        <v>1110</v>
      </c>
      <c r="E247" s="10" t="s">
        <v>403</v>
      </c>
      <c r="F247" s="11" t="s">
        <v>105</v>
      </c>
      <c r="G247" s="11" t="n">
        <v>4</v>
      </c>
      <c r="H247" s="11" t="s">
        <v>143</v>
      </c>
      <c r="I247" s="11" t="s">
        <v>144</v>
      </c>
      <c r="J247" s="11" t="s">
        <v>91</v>
      </c>
      <c r="K247" s="10" t="s">
        <v>139</v>
      </c>
      <c r="L247" s="10" t="s">
        <v>1077</v>
      </c>
      <c r="M247" s="11" t="s">
        <v>94</v>
      </c>
    </row>
    <row r="248" customFormat="false" ht="23.85" hidden="false" customHeight="false" outlineLevel="0" collapsed="false">
      <c r="A248" s="10" t="s">
        <v>1111</v>
      </c>
      <c r="B248" s="10" t="s">
        <v>1073</v>
      </c>
      <c r="C248" s="10" t="s">
        <v>1112</v>
      </c>
      <c r="D248" s="10" t="s">
        <v>1113</v>
      </c>
      <c r="E248" s="10" t="s">
        <v>403</v>
      </c>
      <c r="F248" s="11" t="s">
        <v>105</v>
      </c>
      <c r="G248" s="11" t="n">
        <v>3</v>
      </c>
      <c r="H248" s="11" t="s">
        <v>100</v>
      </c>
      <c r="I248" s="11" t="s">
        <v>144</v>
      </c>
      <c r="J248" s="11" t="s">
        <v>91</v>
      </c>
      <c r="K248" s="10" t="s">
        <v>150</v>
      </c>
      <c r="L248" s="10" t="s">
        <v>1077</v>
      </c>
      <c r="M248" s="11" t="s">
        <v>94</v>
      </c>
    </row>
    <row r="249" customFormat="false" ht="23.85" hidden="false" customHeight="false" outlineLevel="0" collapsed="false">
      <c r="A249" s="10" t="s">
        <v>1114</v>
      </c>
      <c r="B249" s="10" t="s">
        <v>1073</v>
      </c>
      <c r="C249" s="10" t="s">
        <v>1115</v>
      </c>
      <c r="D249" s="10" t="s">
        <v>1116</v>
      </c>
      <c r="E249" s="10" t="s">
        <v>1117</v>
      </c>
      <c r="F249" s="11" t="s">
        <v>99</v>
      </c>
      <c r="G249" s="11" t="n">
        <v>3</v>
      </c>
      <c r="H249" s="11" t="s">
        <v>89</v>
      </c>
      <c r="I249" s="11" t="s">
        <v>144</v>
      </c>
      <c r="J249" s="11" t="s">
        <v>91</v>
      </c>
      <c r="K249" s="10" t="s">
        <v>150</v>
      </c>
      <c r="L249" s="10" t="s">
        <v>1077</v>
      </c>
      <c r="M249" s="11" t="s">
        <v>94</v>
      </c>
    </row>
    <row r="250" customFormat="false" ht="23.85" hidden="false" customHeight="false" outlineLevel="0" collapsed="false">
      <c r="A250" s="10" t="s">
        <v>1118</v>
      </c>
      <c r="B250" s="10" t="s">
        <v>1073</v>
      </c>
      <c r="C250" s="10" t="s">
        <v>1119</v>
      </c>
      <c r="D250" s="10" t="s">
        <v>1120</v>
      </c>
      <c r="E250" s="10" t="s">
        <v>403</v>
      </c>
      <c r="F250" s="11" t="s">
        <v>105</v>
      </c>
      <c r="G250" s="11" t="n">
        <v>4</v>
      </c>
      <c r="H250" s="11" t="s">
        <v>100</v>
      </c>
      <c r="I250" s="11" t="s">
        <v>144</v>
      </c>
      <c r="J250" s="11" t="s">
        <v>91</v>
      </c>
      <c r="K250" s="10" t="s">
        <v>540</v>
      </c>
      <c r="L250" s="10" t="s">
        <v>1077</v>
      </c>
      <c r="M250" s="11" t="s">
        <v>94</v>
      </c>
    </row>
    <row r="251" customFormat="false" ht="23.85" hidden="false" customHeight="false" outlineLevel="0" collapsed="false">
      <c r="A251" s="10" t="s">
        <v>1121</v>
      </c>
      <c r="B251" s="10" t="s">
        <v>1073</v>
      </c>
      <c r="C251" s="10" t="s">
        <v>1122</v>
      </c>
      <c r="D251" s="10" t="s">
        <v>1123</v>
      </c>
      <c r="E251" s="10" t="s">
        <v>403</v>
      </c>
      <c r="F251" s="11" t="s">
        <v>105</v>
      </c>
      <c r="G251" s="11" t="n">
        <v>3</v>
      </c>
      <c r="H251" s="11" t="s">
        <v>100</v>
      </c>
      <c r="I251" s="11" t="s">
        <v>144</v>
      </c>
      <c r="J251" s="11" t="s">
        <v>91</v>
      </c>
      <c r="K251" s="10" t="s">
        <v>195</v>
      </c>
      <c r="L251" s="10" t="s">
        <v>1077</v>
      </c>
      <c r="M251" s="11" t="s">
        <v>94</v>
      </c>
    </row>
    <row r="252" customFormat="false" ht="23.85" hidden="false" customHeight="false" outlineLevel="0" collapsed="false">
      <c r="A252" s="10" t="s">
        <v>1124</v>
      </c>
      <c r="B252" s="10" t="s">
        <v>1073</v>
      </c>
      <c r="C252" s="10" t="s">
        <v>1125</v>
      </c>
      <c r="D252" s="10" t="s">
        <v>1126</v>
      </c>
      <c r="E252" s="10" t="s">
        <v>403</v>
      </c>
      <c r="F252" s="11" t="s">
        <v>105</v>
      </c>
      <c r="G252" s="11" t="n">
        <v>3</v>
      </c>
      <c r="H252" s="11" t="s">
        <v>100</v>
      </c>
      <c r="I252" s="11" t="s">
        <v>144</v>
      </c>
      <c r="J252" s="11" t="s">
        <v>91</v>
      </c>
      <c r="K252" s="10" t="s">
        <v>798</v>
      </c>
      <c r="L252" s="10" t="s">
        <v>1077</v>
      </c>
      <c r="M252" s="11" t="s">
        <v>94</v>
      </c>
    </row>
    <row r="253" customFormat="false" ht="23.85" hidden="false" customHeight="false" outlineLevel="0" collapsed="false">
      <c r="A253" s="10" t="s">
        <v>1127</v>
      </c>
      <c r="B253" s="10" t="s">
        <v>1128</v>
      </c>
      <c r="C253" s="10" t="s">
        <v>1129</v>
      </c>
      <c r="D253" s="10" t="s">
        <v>1130</v>
      </c>
      <c r="E253" s="10" t="s">
        <v>1131</v>
      </c>
      <c r="F253" s="11" t="s">
        <v>99</v>
      </c>
      <c r="G253" s="11" t="n">
        <v>4</v>
      </c>
      <c r="H253" s="11" t="s">
        <v>100</v>
      </c>
      <c r="I253" s="11" t="s">
        <v>106</v>
      </c>
      <c r="J253" s="11" t="s">
        <v>91</v>
      </c>
      <c r="K253" s="10" t="s">
        <v>150</v>
      </c>
      <c r="L253" s="10" t="s">
        <v>1132</v>
      </c>
      <c r="M253" s="11" t="s">
        <v>94</v>
      </c>
    </row>
    <row r="254" customFormat="false" ht="23.85" hidden="false" customHeight="false" outlineLevel="0" collapsed="false">
      <c r="A254" s="10" t="s">
        <v>1133</v>
      </c>
      <c r="B254" s="10" t="s">
        <v>1128</v>
      </c>
      <c r="C254" s="10" t="s">
        <v>1134</v>
      </c>
      <c r="D254" s="10" t="s">
        <v>1135</v>
      </c>
      <c r="E254" s="10" t="s">
        <v>1136</v>
      </c>
      <c r="F254" s="11" t="s">
        <v>99</v>
      </c>
      <c r="G254" s="11" t="n">
        <v>4</v>
      </c>
      <c r="H254" s="11" t="s">
        <v>100</v>
      </c>
      <c r="I254" s="11" t="s">
        <v>106</v>
      </c>
      <c r="J254" s="11" t="s">
        <v>91</v>
      </c>
      <c r="K254" s="10" t="s">
        <v>996</v>
      </c>
      <c r="L254" s="10" t="s">
        <v>1132</v>
      </c>
      <c r="M254" s="11" t="s">
        <v>94</v>
      </c>
    </row>
    <row r="255" customFormat="false" ht="23.85" hidden="false" customHeight="false" outlineLevel="0" collapsed="false">
      <c r="A255" s="10" t="s">
        <v>1137</v>
      </c>
      <c r="B255" s="10" t="s">
        <v>1128</v>
      </c>
      <c r="C255" s="10" t="s">
        <v>1138</v>
      </c>
      <c r="D255" s="10" t="s">
        <v>1139</v>
      </c>
      <c r="E255" s="10" t="s">
        <v>1140</v>
      </c>
      <c r="F255" s="11" t="s">
        <v>105</v>
      </c>
      <c r="G255" s="11" t="n">
        <v>4</v>
      </c>
      <c r="H255" s="11" t="s">
        <v>100</v>
      </c>
      <c r="I255" s="11" t="s">
        <v>106</v>
      </c>
      <c r="J255" s="11" t="s">
        <v>91</v>
      </c>
      <c r="K255" s="10" t="s">
        <v>150</v>
      </c>
      <c r="L255" s="10" t="s">
        <v>1132</v>
      </c>
      <c r="M255" s="11" t="s">
        <v>94</v>
      </c>
    </row>
    <row r="256" customFormat="false" ht="23.85" hidden="false" customHeight="false" outlineLevel="0" collapsed="false">
      <c r="A256" s="10" t="s">
        <v>1141</v>
      </c>
      <c r="B256" s="10" t="s">
        <v>1128</v>
      </c>
      <c r="C256" s="10" t="s">
        <v>1142</v>
      </c>
      <c r="D256" s="10" t="s">
        <v>1143</v>
      </c>
      <c r="E256" s="10" t="s">
        <v>1144</v>
      </c>
      <c r="F256" s="11" t="s">
        <v>99</v>
      </c>
      <c r="G256" s="11" t="n">
        <v>4</v>
      </c>
      <c r="H256" s="11" t="s">
        <v>100</v>
      </c>
      <c r="I256" s="11" t="s">
        <v>106</v>
      </c>
      <c r="J256" s="11" t="s">
        <v>91</v>
      </c>
      <c r="K256" s="10" t="s">
        <v>150</v>
      </c>
      <c r="L256" s="10" t="s">
        <v>1132</v>
      </c>
      <c r="M256" s="11" t="s">
        <v>94</v>
      </c>
    </row>
    <row r="257" customFormat="false" ht="23.85" hidden="false" customHeight="false" outlineLevel="0" collapsed="false">
      <c r="A257" s="10" t="s">
        <v>1145</v>
      </c>
      <c r="B257" s="10" t="s">
        <v>1128</v>
      </c>
      <c r="C257" s="10" t="s">
        <v>1146</v>
      </c>
      <c r="D257" s="10" t="s">
        <v>1147</v>
      </c>
      <c r="E257" s="10" t="s">
        <v>1148</v>
      </c>
      <c r="F257" s="11" t="s">
        <v>88</v>
      </c>
      <c r="G257" s="11" t="n">
        <v>4</v>
      </c>
      <c r="H257" s="11" t="s">
        <v>89</v>
      </c>
      <c r="I257" s="11" t="s">
        <v>106</v>
      </c>
      <c r="J257" s="11" t="s">
        <v>91</v>
      </c>
      <c r="K257" s="10" t="s">
        <v>1149</v>
      </c>
      <c r="L257" s="10" t="s">
        <v>1132</v>
      </c>
      <c r="M257" s="11" t="s">
        <v>94</v>
      </c>
    </row>
    <row r="258" customFormat="false" ht="23.85" hidden="false" customHeight="false" outlineLevel="0" collapsed="false">
      <c r="A258" s="10" t="s">
        <v>1150</v>
      </c>
      <c r="B258" s="10" t="s">
        <v>1128</v>
      </c>
      <c r="C258" s="10" t="s">
        <v>1151</v>
      </c>
      <c r="D258" s="10" t="s">
        <v>1152</v>
      </c>
      <c r="E258" s="10" t="s">
        <v>1153</v>
      </c>
      <c r="F258" s="11" t="s">
        <v>99</v>
      </c>
      <c r="G258" s="11" t="n">
        <v>4</v>
      </c>
      <c r="H258" s="11" t="s">
        <v>100</v>
      </c>
      <c r="I258" s="11" t="s">
        <v>106</v>
      </c>
      <c r="J258" s="11" t="s">
        <v>91</v>
      </c>
      <c r="K258" s="10" t="s">
        <v>798</v>
      </c>
      <c r="L258" s="10" t="s">
        <v>1132</v>
      </c>
      <c r="M258" s="11" t="s">
        <v>94</v>
      </c>
    </row>
    <row r="259" customFormat="false" ht="23.85" hidden="false" customHeight="false" outlineLevel="0" collapsed="false">
      <c r="A259" s="10" t="s">
        <v>1154</v>
      </c>
      <c r="B259" s="10" t="s">
        <v>1128</v>
      </c>
      <c r="C259" s="10" t="s">
        <v>1155</v>
      </c>
      <c r="D259" s="10" t="s">
        <v>1156</v>
      </c>
      <c r="E259" s="10" t="s">
        <v>1157</v>
      </c>
      <c r="F259" s="11" t="s">
        <v>99</v>
      </c>
      <c r="G259" s="11" t="n">
        <v>3</v>
      </c>
      <c r="H259" s="11" t="s">
        <v>89</v>
      </c>
      <c r="I259" s="11" t="s">
        <v>106</v>
      </c>
      <c r="J259" s="11" t="s">
        <v>91</v>
      </c>
      <c r="K259" s="10" t="s">
        <v>236</v>
      </c>
      <c r="L259" s="10" t="s">
        <v>1132</v>
      </c>
      <c r="M259" s="11" t="s">
        <v>94</v>
      </c>
    </row>
    <row r="260" customFormat="false" ht="23.85" hidden="false" customHeight="false" outlineLevel="0" collapsed="false">
      <c r="A260" s="10" t="s">
        <v>1158</v>
      </c>
      <c r="B260" s="10" t="s">
        <v>1128</v>
      </c>
      <c r="C260" s="10" t="s">
        <v>1159</v>
      </c>
      <c r="D260" s="10" t="s">
        <v>1160</v>
      </c>
      <c r="E260" s="10" t="s">
        <v>1161</v>
      </c>
      <c r="F260" s="11" t="s">
        <v>99</v>
      </c>
      <c r="G260" s="11" t="n">
        <v>4</v>
      </c>
      <c r="H260" s="11" t="s">
        <v>143</v>
      </c>
      <c r="I260" s="11" t="s">
        <v>106</v>
      </c>
      <c r="J260" s="11" t="s">
        <v>91</v>
      </c>
      <c r="K260" s="10" t="s">
        <v>1162</v>
      </c>
      <c r="L260" s="10" t="s">
        <v>1132</v>
      </c>
      <c r="M260" s="11" t="s">
        <v>94</v>
      </c>
    </row>
    <row r="261" customFormat="false" ht="23.85" hidden="false" customHeight="false" outlineLevel="0" collapsed="false">
      <c r="A261" s="10" t="s">
        <v>1163</v>
      </c>
      <c r="B261" s="10" t="s">
        <v>1128</v>
      </c>
      <c r="C261" s="10" t="s">
        <v>1164</v>
      </c>
      <c r="D261" s="10" t="s">
        <v>1165</v>
      </c>
      <c r="E261" s="10" t="s">
        <v>1166</v>
      </c>
      <c r="F261" s="11" t="s">
        <v>99</v>
      </c>
      <c r="G261" s="11" t="n">
        <v>3</v>
      </c>
      <c r="H261" s="11" t="s">
        <v>100</v>
      </c>
      <c r="I261" s="11" t="s">
        <v>106</v>
      </c>
      <c r="J261" s="11" t="s">
        <v>91</v>
      </c>
      <c r="K261" s="10" t="s">
        <v>1167</v>
      </c>
      <c r="L261" s="10" t="s">
        <v>1132</v>
      </c>
      <c r="M261" s="11" t="s">
        <v>94</v>
      </c>
    </row>
    <row r="262" customFormat="false" ht="23.85" hidden="false" customHeight="false" outlineLevel="0" collapsed="false">
      <c r="A262" s="10" t="s">
        <v>1168</v>
      </c>
      <c r="B262" s="10" t="s">
        <v>1128</v>
      </c>
      <c r="C262" s="10" t="s">
        <v>1169</v>
      </c>
      <c r="D262" s="10" t="s">
        <v>1170</v>
      </c>
      <c r="E262" s="10" t="s">
        <v>1171</v>
      </c>
      <c r="F262" s="11" t="s">
        <v>88</v>
      </c>
      <c r="G262" s="11" t="n">
        <v>3</v>
      </c>
      <c r="H262" s="11" t="s">
        <v>89</v>
      </c>
      <c r="I262" s="11" t="s">
        <v>106</v>
      </c>
      <c r="J262" s="11" t="s">
        <v>91</v>
      </c>
      <c r="K262" s="10" t="s">
        <v>150</v>
      </c>
      <c r="L262" s="10" t="s">
        <v>1132</v>
      </c>
      <c r="M262" s="11" t="s">
        <v>94</v>
      </c>
    </row>
    <row r="263" customFormat="false" ht="23.85" hidden="false" customHeight="false" outlineLevel="0" collapsed="false">
      <c r="A263" s="10" t="s">
        <v>1172</v>
      </c>
      <c r="B263" s="10" t="s">
        <v>1128</v>
      </c>
      <c r="C263" s="10" t="s">
        <v>1173</v>
      </c>
      <c r="D263" s="10" t="s">
        <v>1174</v>
      </c>
      <c r="E263" s="10" t="s">
        <v>1175</v>
      </c>
      <c r="F263" s="11" t="s">
        <v>105</v>
      </c>
      <c r="G263" s="11" t="n">
        <v>5</v>
      </c>
      <c r="H263" s="11" t="s">
        <v>143</v>
      </c>
      <c r="I263" s="11" t="s">
        <v>144</v>
      </c>
      <c r="J263" s="11" t="s">
        <v>91</v>
      </c>
      <c r="K263" s="10" t="s">
        <v>1176</v>
      </c>
      <c r="L263" s="10" t="s">
        <v>1132</v>
      </c>
      <c r="M263" s="11" t="s">
        <v>94</v>
      </c>
    </row>
    <row r="264" customFormat="false" ht="23.85" hidden="false" customHeight="false" outlineLevel="0" collapsed="false">
      <c r="A264" s="10" t="s">
        <v>1177</v>
      </c>
      <c r="B264" s="10" t="s">
        <v>1128</v>
      </c>
      <c r="C264" s="10" t="s">
        <v>1178</v>
      </c>
      <c r="D264" s="10" t="s">
        <v>1179</v>
      </c>
      <c r="E264" s="10" t="s">
        <v>1180</v>
      </c>
      <c r="F264" s="11" t="s">
        <v>99</v>
      </c>
      <c r="G264" s="11" t="n">
        <v>2</v>
      </c>
      <c r="H264" s="11" t="s">
        <v>100</v>
      </c>
      <c r="I264" s="11" t="s">
        <v>144</v>
      </c>
      <c r="J264" s="11" t="s">
        <v>91</v>
      </c>
      <c r="K264" s="10" t="s">
        <v>145</v>
      </c>
      <c r="L264" s="10" t="s">
        <v>1132</v>
      </c>
      <c r="M264" s="11" t="s">
        <v>94</v>
      </c>
    </row>
    <row r="265" customFormat="false" ht="23.85" hidden="false" customHeight="false" outlineLevel="0" collapsed="false">
      <c r="A265" s="10" t="s">
        <v>1181</v>
      </c>
      <c r="B265" s="10" t="s">
        <v>1128</v>
      </c>
      <c r="C265" s="10" t="s">
        <v>1182</v>
      </c>
      <c r="D265" s="10" t="s">
        <v>1183</v>
      </c>
      <c r="E265" s="10" t="s">
        <v>1184</v>
      </c>
      <c r="F265" s="11" t="s">
        <v>99</v>
      </c>
      <c r="G265" s="11" t="n">
        <v>2</v>
      </c>
      <c r="H265" s="11" t="s">
        <v>100</v>
      </c>
      <c r="I265" s="11" t="s">
        <v>144</v>
      </c>
      <c r="J265" s="11" t="s">
        <v>91</v>
      </c>
      <c r="K265" s="10" t="s">
        <v>145</v>
      </c>
      <c r="L265" s="10" t="s">
        <v>1132</v>
      </c>
      <c r="M265" s="11" t="s">
        <v>94</v>
      </c>
    </row>
    <row r="266" customFormat="false" ht="23.85" hidden="false" customHeight="false" outlineLevel="0" collapsed="false">
      <c r="A266" s="10" t="s">
        <v>1185</v>
      </c>
      <c r="B266" s="10" t="s">
        <v>1128</v>
      </c>
      <c r="C266" s="10" t="s">
        <v>1186</v>
      </c>
      <c r="D266" s="10" t="s">
        <v>1187</v>
      </c>
      <c r="E266" s="10" t="s">
        <v>403</v>
      </c>
      <c r="F266" s="11" t="s">
        <v>105</v>
      </c>
      <c r="G266" s="11" t="n">
        <v>3</v>
      </c>
      <c r="H266" s="11" t="s">
        <v>100</v>
      </c>
      <c r="I266" s="11" t="s">
        <v>144</v>
      </c>
      <c r="J266" s="11" t="s">
        <v>91</v>
      </c>
      <c r="K266" s="10" t="s">
        <v>540</v>
      </c>
      <c r="L266" s="10" t="s">
        <v>1132</v>
      </c>
      <c r="M266" s="11" t="s">
        <v>94</v>
      </c>
    </row>
    <row r="267" customFormat="false" ht="23.85" hidden="false" customHeight="false" outlineLevel="0" collapsed="false">
      <c r="A267" s="10" t="s">
        <v>1188</v>
      </c>
      <c r="B267" s="10" t="s">
        <v>1128</v>
      </c>
      <c r="C267" s="10" t="s">
        <v>1189</v>
      </c>
      <c r="D267" s="10" t="s">
        <v>1190</v>
      </c>
      <c r="E267" s="10" t="s">
        <v>1191</v>
      </c>
      <c r="F267" s="11" t="s">
        <v>88</v>
      </c>
      <c r="G267" s="11" t="n">
        <v>2</v>
      </c>
      <c r="H267" s="11" t="s">
        <v>89</v>
      </c>
      <c r="I267" s="11" t="s">
        <v>144</v>
      </c>
      <c r="J267" s="11" t="s">
        <v>91</v>
      </c>
      <c r="K267" s="10" t="s">
        <v>1192</v>
      </c>
      <c r="L267" s="10" t="s">
        <v>1132</v>
      </c>
      <c r="M267" s="11" t="s">
        <v>94</v>
      </c>
    </row>
    <row r="268" customFormat="false" ht="23.85" hidden="false" customHeight="false" outlineLevel="0" collapsed="false">
      <c r="A268" s="10" t="s">
        <v>1193</v>
      </c>
      <c r="B268" s="10" t="s">
        <v>1128</v>
      </c>
      <c r="C268" s="10" t="s">
        <v>1194</v>
      </c>
      <c r="D268" s="10" t="s">
        <v>1195</v>
      </c>
      <c r="E268" s="10" t="s">
        <v>154</v>
      </c>
      <c r="F268" s="11" t="s">
        <v>105</v>
      </c>
      <c r="G268" s="11" t="n">
        <v>2</v>
      </c>
      <c r="H268" s="11" t="s">
        <v>100</v>
      </c>
      <c r="I268" s="11" t="s">
        <v>172</v>
      </c>
      <c r="J268" s="11" t="s">
        <v>176</v>
      </c>
      <c r="K268" s="10" t="s">
        <v>177</v>
      </c>
      <c r="L268" s="10" t="s">
        <v>1132</v>
      </c>
      <c r="M268" s="11" t="s">
        <v>157</v>
      </c>
    </row>
    <row r="269" customFormat="false" ht="23.85" hidden="false" customHeight="false" outlineLevel="0" collapsed="false">
      <c r="A269" s="10" t="s">
        <v>1196</v>
      </c>
      <c r="B269" s="10" t="s">
        <v>1128</v>
      </c>
      <c r="C269" s="10" t="s">
        <v>1197</v>
      </c>
      <c r="D269" s="10" t="s">
        <v>1198</v>
      </c>
      <c r="E269" s="10" t="s">
        <v>154</v>
      </c>
      <c r="F269" s="11" t="s">
        <v>105</v>
      </c>
      <c r="G269" s="11" t="n">
        <v>2</v>
      </c>
      <c r="H269" s="11" t="s">
        <v>89</v>
      </c>
      <c r="I269" s="11" t="s">
        <v>172</v>
      </c>
      <c r="J269" s="11" t="s">
        <v>805</v>
      </c>
      <c r="K269" s="10" t="s">
        <v>177</v>
      </c>
      <c r="L269" s="10" t="s">
        <v>1132</v>
      </c>
      <c r="M269" s="11" t="s">
        <v>157</v>
      </c>
    </row>
    <row r="270" customFormat="false" ht="23.85" hidden="false" customHeight="false" outlineLevel="0" collapsed="false">
      <c r="A270" s="10" t="s">
        <v>1199</v>
      </c>
      <c r="B270" s="10" t="s">
        <v>1200</v>
      </c>
      <c r="C270" s="10" t="s">
        <v>1201</v>
      </c>
      <c r="D270" s="10" t="s">
        <v>1202</v>
      </c>
      <c r="E270" s="10" t="s">
        <v>1203</v>
      </c>
      <c r="F270" s="11" t="s">
        <v>99</v>
      </c>
      <c r="G270" s="11" t="n">
        <v>4</v>
      </c>
      <c r="H270" s="11" t="s">
        <v>100</v>
      </c>
      <c r="I270" s="11" t="s">
        <v>106</v>
      </c>
      <c r="J270" s="11" t="s">
        <v>91</v>
      </c>
      <c r="K270" s="10" t="s">
        <v>430</v>
      </c>
      <c r="L270" s="10" t="s">
        <v>1204</v>
      </c>
      <c r="M270" s="11" t="s">
        <v>94</v>
      </c>
    </row>
    <row r="271" customFormat="false" ht="23.85" hidden="false" customHeight="false" outlineLevel="0" collapsed="false">
      <c r="A271" s="10" t="s">
        <v>1205</v>
      </c>
      <c r="B271" s="10" t="s">
        <v>1200</v>
      </c>
      <c r="C271" s="10" t="s">
        <v>1206</v>
      </c>
      <c r="D271" s="10" t="s">
        <v>1207</v>
      </c>
      <c r="E271" s="10" t="s">
        <v>1208</v>
      </c>
      <c r="F271" s="11" t="s">
        <v>99</v>
      </c>
      <c r="G271" s="11" t="n">
        <v>4</v>
      </c>
      <c r="H271" s="11" t="s">
        <v>100</v>
      </c>
      <c r="I271" s="11" t="s">
        <v>106</v>
      </c>
      <c r="J271" s="11" t="s">
        <v>91</v>
      </c>
      <c r="K271" s="10" t="s">
        <v>1209</v>
      </c>
      <c r="L271" s="10" t="s">
        <v>1204</v>
      </c>
      <c r="M271" s="11" t="s">
        <v>94</v>
      </c>
    </row>
    <row r="272" customFormat="false" ht="23.85" hidden="false" customHeight="false" outlineLevel="0" collapsed="false">
      <c r="A272" s="10" t="s">
        <v>1210</v>
      </c>
      <c r="B272" s="10" t="s">
        <v>1200</v>
      </c>
      <c r="C272" s="10" t="s">
        <v>1211</v>
      </c>
      <c r="D272" s="10" t="s">
        <v>1212</v>
      </c>
      <c r="E272" s="10" t="s">
        <v>1213</v>
      </c>
      <c r="F272" s="11" t="s">
        <v>99</v>
      </c>
      <c r="G272" s="11" t="n">
        <v>3</v>
      </c>
      <c r="H272" s="11" t="s">
        <v>100</v>
      </c>
      <c r="I272" s="11" t="s">
        <v>106</v>
      </c>
      <c r="J272" s="11" t="s">
        <v>91</v>
      </c>
      <c r="K272" s="10" t="s">
        <v>540</v>
      </c>
      <c r="L272" s="10" t="s">
        <v>1204</v>
      </c>
      <c r="M272" s="11" t="s">
        <v>94</v>
      </c>
    </row>
    <row r="273" customFormat="false" ht="23.85" hidden="false" customHeight="false" outlineLevel="0" collapsed="false">
      <c r="A273" s="10" t="s">
        <v>1214</v>
      </c>
      <c r="B273" s="10" t="s">
        <v>1200</v>
      </c>
      <c r="C273" s="10" t="s">
        <v>1215</v>
      </c>
      <c r="D273" s="10" t="s">
        <v>1216</v>
      </c>
      <c r="E273" s="10" t="s">
        <v>1217</v>
      </c>
      <c r="F273" s="11" t="s">
        <v>99</v>
      </c>
      <c r="G273" s="11" t="n">
        <v>4</v>
      </c>
      <c r="H273" s="11" t="s">
        <v>100</v>
      </c>
      <c r="I273" s="11" t="s">
        <v>106</v>
      </c>
      <c r="J273" s="11" t="s">
        <v>91</v>
      </c>
      <c r="K273" s="10" t="s">
        <v>145</v>
      </c>
      <c r="L273" s="10" t="s">
        <v>1204</v>
      </c>
      <c r="M273" s="11" t="s">
        <v>94</v>
      </c>
    </row>
    <row r="274" customFormat="false" ht="23.85" hidden="false" customHeight="false" outlineLevel="0" collapsed="false">
      <c r="A274" s="10" t="s">
        <v>1218</v>
      </c>
      <c r="B274" s="10" t="s">
        <v>1200</v>
      </c>
      <c r="C274" s="10" t="s">
        <v>1219</v>
      </c>
      <c r="D274" s="10" t="s">
        <v>1220</v>
      </c>
      <c r="E274" s="10" t="s">
        <v>403</v>
      </c>
      <c r="F274" s="11" t="s">
        <v>105</v>
      </c>
      <c r="G274" s="11" t="n">
        <v>5</v>
      </c>
      <c r="H274" s="11" t="s">
        <v>143</v>
      </c>
      <c r="I274" s="11" t="s">
        <v>106</v>
      </c>
      <c r="J274" s="11" t="s">
        <v>91</v>
      </c>
      <c r="K274" s="10" t="s">
        <v>254</v>
      </c>
      <c r="L274" s="10" t="s">
        <v>1204</v>
      </c>
      <c r="M274" s="11" t="s">
        <v>94</v>
      </c>
    </row>
    <row r="275" customFormat="false" ht="23.85" hidden="false" customHeight="false" outlineLevel="0" collapsed="false">
      <c r="A275" s="10" t="s">
        <v>1221</v>
      </c>
      <c r="B275" s="10" t="s">
        <v>1200</v>
      </c>
      <c r="C275" s="10" t="s">
        <v>1222</v>
      </c>
      <c r="D275" s="10" t="s">
        <v>1223</v>
      </c>
      <c r="E275" s="10" t="s">
        <v>403</v>
      </c>
      <c r="F275" s="11" t="s">
        <v>105</v>
      </c>
      <c r="G275" s="11" t="n">
        <v>4</v>
      </c>
      <c r="H275" s="11" t="s">
        <v>100</v>
      </c>
      <c r="I275" s="11" t="s">
        <v>106</v>
      </c>
      <c r="J275" s="11" t="s">
        <v>91</v>
      </c>
      <c r="K275" s="10" t="s">
        <v>123</v>
      </c>
      <c r="L275" s="10" t="s">
        <v>1204</v>
      </c>
      <c r="M275" s="11" t="s">
        <v>94</v>
      </c>
    </row>
    <row r="276" customFormat="false" ht="23.85" hidden="false" customHeight="false" outlineLevel="0" collapsed="false">
      <c r="A276" s="10" t="s">
        <v>1224</v>
      </c>
      <c r="B276" s="10" t="s">
        <v>1200</v>
      </c>
      <c r="C276" s="10" t="s">
        <v>1225</v>
      </c>
      <c r="D276" s="10" t="s">
        <v>1226</v>
      </c>
      <c r="E276" s="10" t="s">
        <v>403</v>
      </c>
      <c r="F276" s="11" t="s">
        <v>105</v>
      </c>
      <c r="G276" s="11" t="n">
        <v>5</v>
      </c>
      <c r="H276" s="11" t="s">
        <v>100</v>
      </c>
      <c r="I276" s="11" t="s">
        <v>106</v>
      </c>
      <c r="J276" s="11" t="s">
        <v>91</v>
      </c>
      <c r="K276" s="10" t="s">
        <v>907</v>
      </c>
      <c r="L276" s="10" t="s">
        <v>1204</v>
      </c>
      <c r="M276" s="11" t="s">
        <v>94</v>
      </c>
    </row>
    <row r="277" customFormat="false" ht="23.85" hidden="false" customHeight="false" outlineLevel="0" collapsed="false">
      <c r="A277" s="10" t="s">
        <v>1227</v>
      </c>
      <c r="B277" s="10" t="s">
        <v>1200</v>
      </c>
      <c r="C277" s="10" t="s">
        <v>1228</v>
      </c>
      <c r="D277" s="10" t="s">
        <v>1229</v>
      </c>
      <c r="E277" s="10" t="s">
        <v>403</v>
      </c>
      <c r="F277" s="11" t="s">
        <v>105</v>
      </c>
      <c r="G277" s="11" t="n">
        <v>4</v>
      </c>
      <c r="H277" s="11" t="s">
        <v>100</v>
      </c>
      <c r="I277" s="11" t="s">
        <v>106</v>
      </c>
      <c r="J277" s="11" t="s">
        <v>91</v>
      </c>
      <c r="K277" s="10" t="s">
        <v>1230</v>
      </c>
      <c r="L277" s="10" t="s">
        <v>1204</v>
      </c>
      <c r="M277" s="11" t="s">
        <v>94</v>
      </c>
    </row>
    <row r="278" customFormat="false" ht="23.85" hidden="false" customHeight="false" outlineLevel="0" collapsed="false">
      <c r="A278" s="10" t="s">
        <v>1231</v>
      </c>
      <c r="B278" s="10" t="s">
        <v>1200</v>
      </c>
      <c r="C278" s="10" t="s">
        <v>1232</v>
      </c>
      <c r="D278" s="10" t="s">
        <v>1233</v>
      </c>
      <c r="E278" s="10" t="s">
        <v>765</v>
      </c>
      <c r="F278" s="11" t="s">
        <v>105</v>
      </c>
      <c r="G278" s="11" t="n">
        <v>3</v>
      </c>
      <c r="H278" s="11" t="s">
        <v>89</v>
      </c>
      <c r="I278" s="11" t="s">
        <v>106</v>
      </c>
      <c r="J278" s="11" t="s">
        <v>91</v>
      </c>
      <c r="K278" s="10" t="s">
        <v>236</v>
      </c>
      <c r="L278" s="10" t="s">
        <v>1204</v>
      </c>
      <c r="M278" s="11" t="s">
        <v>94</v>
      </c>
    </row>
    <row r="279" customFormat="false" ht="23.85" hidden="false" customHeight="false" outlineLevel="0" collapsed="false">
      <c r="A279" s="10" t="s">
        <v>1234</v>
      </c>
      <c r="B279" s="10" t="s">
        <v>1200</v>
      </c>
      <c r="C279" s="10" t="s">
        <v>1235</v>
      </c>
      <c r="D279" s="10" t="s">
        <v>1236</v>
      </c>
      <c r="E279" s="10" t="s">
        <v>403</v>
      </c>
      <c r="F279" s="11" t="s">
        <v>105</v>
      </c>
      <c r="G279" s="11" t="n">
        <v>3</v>
      </c>
      <c r="H279" s="11" t="s">
        <v>100</v>
      </c>
      <c r="I279" s="11" t="s">
        <v>144</v>
      </c>
      <c r="J279" s="11" t="s">
        <v>91</v>
      </c>
      <c r="K279" s="10" t="s">
        <v>725</v>
      </c>
      <c r="L279" s="10" t="s">
        <v>1237</v>
      </c>
      <c r="M279" s="11" t="s">
        <v>94</v>
      </c>
    </row>
    <row r="280" customFormat="false" ht="23.85" hidden="false" customHeight="false" outlineLevel="0" collapsed="false">
      <c r="A280" s="10" t="s">
        <v>1238</v>
      </c>
      <c r="B280" s="10" t="s">
        <v>1200</v>
      </c>
      <c r="C280" s="10" t="s">
        <v>1239</v>
      </c>
      <c r="D280" s="10" t="s">
        <v>1240</v>
      </c>
      <c r="E280" s="10" t="s">
        <v>1241</v>
      </c>
      <c r="F280" s="11" t="s">
        <v>88</v>
      </c>
      <c r="G280" s="11" t="n">
        <v>2</v>
      </c>
      <c r="H280" s="11" t="s">
        <v>89</v>
      </c>
      <c r="I280" s="11" t="s">
        <v>144</v>
      </c>
      <c r="J280" s="11" t="s">
        <v>91</v>
      </c>
      <c r="K280" s="10" t="s">
        <v>145</v>
      </c>
      <c r="L280" s="10" t="s">
        <v>1204</v>
      </c>
      <c r="M280" s="11" t="s">
        <v>94</v>
      </c>
    </row>
    <row r="281" customFormat="false" ht="23.85" hidden="false" customHeight="false" outlineLevel="0" collapsed="false">
      <c r="A281" s="10" t="s">
        <v>1242</v>
      </c>
      <c r="B281" s="10" t="s">
        <v>1200</v>
      </c>
      <c r="C281" s="10" t="s">
        <v>1243</v>
      </c>
      <c r="D281" s="10" t="s">
        <v>1244</v>
      </c>
      <c r="E281" s="10" t="s">
        <v>403</v>
      </c>
      <c r="F281" s="11" t="s">
        <v>105</v>
      </c>
      <c r="G281" s="11" t="n">
        <v>3</v>
      </c>
      <c r="H281" s="11" t="s">
        <v>100</v>
      </c>
      <c r="I281" s="11" t="s">
        <v>144</v>
      </c>
      <c r="J281" s="11" t="s">
        <v>91</v>
      </c>
      <c r="K281" s="10" t="s">
        <v>145</v>
      </c>
      <c r="L281" s="10" t="s">
        <v>1204</v>
      </c>
      <c r="M281" s="11" t="s">
        <v>94</v>
      </c>
    </row>
    <row r="282" customFormat="false" ht="23.85" hidden="false" customHeight="false" outlineLevel="0" collapsed="false">
      <c r="A282" s="10" t="s">
        <v>1245</v>
      </c>
      <c r="B282" s="10" t="s">
        <v>1200</v>
      </c>
      <c r="C282" s="10" t="s">
        <v>1246</v>
      </c>
      <c r="D282" s="10" t="s">
        <v>1247</v>
      </c>
      <c r="E282" s="10" t="s">
        <v>1248</v>
      </c>
      <c r="F282" s="11" t="s">
        <v>99</v>
      </c>
      <c r="G282" s="11" t="n">
        <v>2</v>
      </c>
      <c r="H282" s="11" t="s">
        <v>89</v>
      </c>
      <c r="I282" s="11" t="s">
        <v>144</v>
      </c>
      <c r="J282" s="11" t="s">
        <v>91</v>
      </c>
      <c r="K282" s="10" t="s">
        <v>540</v>
      </c>
      <c r="L282" s="10" t="s">
        <v>1204</v>
      </c>
      <c r="M282" s="11" t="s">
        <v>94</v>
      </c>
    </row>
    <row r="283" customFormat="false" ht="23.85" hidden="false" customHeight="false" outlineLevel="0" collapsed="false">
      <c r="A283" s="10" t="s">
        <v>1249</v>
      </c>
      <c r="B283" s="10" t="s">
        <v>1200</v>
      </c>
      <c r="C283" s="10" t="s">
        <v>1250</v>
      </c>
      <c r="D283" s="10" t="s">
        <v>1251</v>
      </c>
      <c r="E283" s="10" t="s">
        <v>1252</v>
      </c>
      <c r="F283" s="11" t="s">
        <v>99</v>
      </c>
      <c r="G283" s="11" t="n">
        <v>2</v>
      </c>
      <c r="H283" s="11" t="s">
        <v>89</v>
      </c>
      <c r="I283" s="11" t="s">
        <v>144</v>
      </c>
      <c r="J283" s="11" t="s">
        <v>91</v>
      </c>
      <c r="K283" s="10" t="s">
        <v>540</v>
      </c>
      <c r="L283" s="10" t="s">
        <v>1204</v>
      </c>
      <c r="M283" s="11" t="s">
        <v>94</v>
      </c>
    </row>
    <row r="284" customFormat="false" ht="23.85" hidden="false" customHeight="false" outlineLevel="0" collapsed="false">
      <c r="A284" s="10" t="s">
        <v>1253</v>
      </c>
      <c r="B284" s="10" t="s">
        <v>1200</v>
      </c>
      <c r="C284" s="10" t="s">
        <v>1254</v>
      </c>
      <c r="D284" s="10" t="s">
        <v>1255</v>
      </c>
      <c r="E284" s="10" t="s">
        <v>403</v>
      </c>
      <c r="F284" s="11" t="s">
        <v>105</v>
      </c>
      <c r="G284" s="11" t="n">
        <v>4</v>
      </c>
      <c r="H284" s="11" t="s">
        <v>100</v>
      </c>
      <c r="I284" s="11" t="s">
        <v>144</v>
      </c>
      <c r="J284" s="11" t="s">
        <v>91</v>
      </c>
      <c r="K284" s="10" t="s">
        <v>118</v>
      </c>
      <c r="L284" s="10" t="s">
        <v>1204</v>
      </c>
      <c r="M284" s="11" t="s">
        <v>94</v>
      </c>
    </row>
    <row r="285" customFormat="false" ht="23.85" hidden="false" customHeight="false" outlineLevel="0" collapsed="false">
      <c r="A285" s="10" t="s">
        <v>1256</v>
      </c>
      <c r="B285" s="10" t="s">
        <v>1200</v>
      </c>
      <c r="C285" s="10" t="s">
        <v>1257</v>
      </c>
      <c r="D285" s="10" t="s">
        <v>1258</v>
      </c>
      <c r="E285" s="10" t="s">
        <v>765</v>
      </c>
      <c r="F285" s="11" t="s">
        <v>105</v>
      </c>
      <c r="G285" s="11" t="n">
        <v>3</v>
      </c>
      <c r="H285" s="11" t="s">
        <v>100</v>
      </c>
      <c r="I285" s="11" t="s">
        <v>144</v>
      </c>
      <c r="J285" s="11" t="s">
        <v>91</v>
      </c>
      <c r="K285" s="10" t="s">
        <v>1259</v>
      </c>
      <c r="L285" s="10" t="s">
        <v>1204</v>
      </c>
      <c r="M285" s="11" t="s">
        <v>94</v>
      </c>
    </row>
    <row r="286" customFormat="false" ht="23.85" hidden="false" customHeight="false" outlineLevel="0" collapsed="false">
      <c r="A286" s="10" t="s">
        <v>1260</v>
      </c>
      <c r="B286" s="10" t="s">
        <v>1200</v>
      </c>
      <c r="C286" s="10" t="s">
        <v>1261</v>
      </c>
      <c r="D286" s="10" t="s">
        <v>1262</v>
      </c>
      <c r="E286" s="10" t="s">
        <v>403</v>
      </c>
      <c r="F286" s="11" t="s">
        <v>105</v>
      </c>
      <c r="G286" s="11" t="n">
        <v>3</v>
      </c>
      <c r="H286" s="11" t="s">
        <v>100</v>
      </c>
      <c r="I286" s="11" t="s">
        <v>144</v>
      </c>
      <c r="J286" s="11" t="s">
        <v>91</v>
      </c>
      <c r="K286" s="10" t="s">
        <v>434</v>
      </c>
      <c r="L286" s="10" t="s">
        <v>1204</v>
      </c>
      <c r="M286" s="11" t="s">
        <v>94</v>
      </c>
    </row>
    <row r="287" customFormat="false" ht="23.85" hidden="false" customHeight="false" outlineLevel="0" collapsed="false">
      <c r="A287" s="10" t="s">
        <v>1263</v>
      </c>
      <c r="B287" s="10" t="s">
        <v>1264</v>
      </c>
      <c r="C287" s="10" t="s">
        <v>1265</v>
      </c>
      <c r="D287" s="10" t="s">
        <v>1266</v>
      </c>
      <c r="E287" s="10" t="s">
        <v>1267</v>
      </c>
      <c r="F287" s="11" t="s">
        <v>99</v>
      </c>
      <c r="G287" s="11" t="n">
        <v>5</v>
      </c>
      <c r="H287" s="11" t="s">
        <v>100</v>
      </c>
      <c r="I287" s="11" t="s">
        <v>106</v>
      </c>
      <c r="J287" s="11" t="s">
        <v>91</v>
      </c>
      <c r="K287" s="10" t="s">
        <v>1268</v>
      </c>
      <c r="L287" s="10" t="s">
        <v>1269</v>
      </c>
      <c r="M287" s="11" t="s">
        <v>94</v>
      </c>
    </row>
    <row r="288" customFormat="false" ht="23.85" hidden="false" customHeight="false" outlineLevel="0" collapsed="false">
      <c r="A288" s="10" t="s">
        <v>1270</v>
      </c>
      <c r="B288" s="10" t="s">
        <v>1264</v>
      </c>
      <c r="C288" s="10" t="s">
        <v>1271</v>
      </c>
      <c r="D288" s="10" t="s">
        <v>1272</v>
      </c>
      <c r="E288" s="10" t="s">
        <v>1273</v>
      </c>
      <c r="F288" s="11" t="s">
        <v>99</v>
      </c>
      <c r="G288" s="11" t="n">
        <v>4</v>
      </c>
      <c r="H288" s="11" t="s">
        <v>89</v>
      </c>
      <c r="I288" s="11" t="s">
        <v>106</v>
      </c>
      <c r="J288" s="11" t="s">
        <v>155</v>
      </c>
      <c r="K288" s="10" t="s">
        <v>177</v>
      </c>
      <c r="L288" s="10" t="s">
        <v>1274</v>
      </c>
      <c r="M288" s="11" t="s">
        <v>157</v>
      </c>
    </row>
    <row r="289" customFormat="false" ht="23.85" hidden="false" customHeight="false" outlineLevel="0" collapsed="false">
      <c r="A289" s="10" t="s">
        <v>1275</v>
      </c>
      <c r="B289" s="10" t="s">
        <v>1264</v>
      </c>
      <c r="C289" s="10" t="s">
        <v>1276</v>
      </c>
      <c r="D289" s="10" t="s">
        <v>1277</v>
      </c>
      <c r="E289" s="10" t="s">
        <v>1278</v>
      </c>
      <c r="F289" s="11" t="s">
        <v>99</v>
      </c>
      <c r="G289" s="11" t="n">
        <v>4</v>
      </c>
      <c r="H289" s="11" t="s">
        <v>89</v>
      </c>
      <c r="I289" s="11" t="s">
        <v>106</v>
      </c>
      <c r="J289" s="11" t="s">
        <v>91</v>
      </c>
      <c r="K289" s="10" t="s">
        <v>1279</v>
      </c>
      <c r="L289" s="10" t="s">
        <v>1274</v>
      </c>
      <c r="M289" s="11" t="s">
        <v>94</v>
      </c>
    </row>
    <row r="290" customFormat="false" ht="23.85" hidden="false" customHeight="false" outlineLevel="0" collapsed="false">
      <c r="A290" s="10" t="s">
        <v>1280</v>
      </c>
      <c r="B290" s="10" t="s">
        <v>1264</v>
      </c>
      <c r="C290" s="10" t="s">
        <v>1281</v>
      </c>
      <c r="D290" s="10" t="s">
        <v>1282</v>
      </c>
      <c r="E290" s="10" t="s">
        <v>1283</v>
      </c>
      <c r="F290" s="11" t="s">
        <v>99</v>
      </c>
      <c r="G290" s="11" t="n">
        <v>4</v>
      </c>
      <c r="H290" s="11" t="s">
        <v>100</v>
      </c>
      <c r="I290" s="11" t="s">
        <v>106</v>
      </c>
      <c r="J290" s="11" t="s">
        <v>91</v>
      </c>
      <c r="K290" s="10" t="s">
        <v>118</v>
      </c>
      <c r="L290" s="10" t="s">
        <v>1274</v>
      </c>
      <c r="M290" s="11" t="s">
        <v>94</v>
      </c>
    </row>
    <row r="291" customFormat="false" ht="23.85" hidden="false" customHeight="false" outlineLevel="0" collapsed="false">
      <c r="A291" s="10" t="s">
        <v>1284</v>
      </c>
      <c r="B291" s="10" t="s">
        <v>1264</v>
      </c>
      <c r="C291" s="10" t="s">
        <v>1285</v>
      </c>
      <c r="D291" s="10" t="s">
        <v>1286</v>
      </c>
      <c r="E291" s="10" t="s">
        <v>1287</v>
      </c>
      <c r="F291" s="11" t="s">
        <v>99</v>
      </c>
      <c r="G291" s="11" t="n">
        <v>3</v>
      </c>
      <c r="H291" s="11" t="s">
        <v>89</v>
      </c>
      <c r="I291" s="11" t="s">
        <v>106</v>
      </c>
      <c r="J291" s="11" t="s">
        <v>91</v>
      </c>
      <c r="K291" s="10" t="s">
        <v>653</v>
      </c>
      <c r="L291" s="10" t="s">
        <v>1274</v>
      </c>
      <c r="M291" s="11" t="s">
        <v>94</v>
      </c>
    </row>
    <row r="292" customFormat="false" ht="23.85" hidden="false" customHeight="false" outlineLevel="0" collapsed="false">
      <c r="A292" s="10" t="s">
        <v>1288</v>
      </c>
      <c r="B292" s="10" t="s">
        <v>1264</v>
      </c>
      <c r="C292" s="10" t="s">
        <v>1289</v>
      </c>
      <c r="D292" s="10" t="s">
        <v>1290</v>
      </c>
      <c r="E292" s="10" t="s">
        <v>1291</v>
      </c>
      <c r="F292" s="11" t="s">
        <v>99</v>
      </c>
      <c r="G292" s="11" t="n">
        <v>5</v>
      </c>
      <c r="H292" s="11" t="s">
        <v>143</v>
      </c>
      <c r="I292" s="11" t="s">
        <v>106</v>
      </c>
      <c r="J292" s="11" t="s">
        <v>91</v>
      </c>
      <c r="K292" s="10" t="s">
        <v>305</v>
      </c>
      <c r="L292" s="10" t="s">
        <v>1274</v>
      </c>
      <c r="M292" s="11" t="s">
        <v>94</v>
      </c>
    </row>
    <row r="293" customFormat="false" ht="23.85" hidden="false" customHeight="false" outlineLevel="0" collapsed="false">
      <c r="A293" s="10" t="s">
        <v>1292</v>
      </c>
      <c r="B293" s="10" t="s">
        <v>1264</v>
      </c>
      <c r="C293" s="10" t="s">
        <v>1293</v>
      </c>
      <c r="D293" s="10" t="s">
        <v>1294</v>
      </c>
      <c r="E293" s="10" t="s">
        <v>1295</v>
      </c>
      <c r="F293" s="11" t="s">
        <v>105</v>
      </c>
      <c r="G293" s="11" t="n">
        <v>5</v>
      </c>
      <c r="H293" s="11" t="s">
        <v>100</v>
      </c>
      <c r="I293" s="11" t="s">
        <v>106</v>
      </c>
      <c r="J293" s="11" t="s">
        <v>91</v>
      </c>
      <c r="K293" s="10" t="s">
        <v>217</v>
      </c>
      <c r="L293" s="10" t="s">
        <v>1274</v>
      </c>
      <c r="M293" s="11" t="s">
        <v>94</v>
      </c>
    </row>
    <row r="294" customFormat="false" ht="23.85" hidden="false" customHeight="false" outlineLevel="0" collapsed="false">
      <c r="A294" s="10" t="s">
        <v>1296</v>
      </c>
      <c r="B294" s="10" t="s">
        <v>1264</v>
      </c>
      <c r="C294" s="10" t="s">
        <v>1297</v>
      </c>
      <c r="D294" s="10" t="s">
        <v>1298</v>
      </c>
      <c r="E294" s="10" t="s">
        <v>1299</v>
      </c>
      <c r="F294" s="11" t="s">
        <v>99</v>
      </c>
      <c r="G294" s="11" t="n">
        <v>3</v>
      </c>
      <c r="H294" s="11" t="s">
        <v>89</v>
      </c>
      <c r="I294" s="11" t="s">
        <v>144</v>
      </c>
      <c r="J294" s="11" t="s">
        <v>91</v>
      </c>
      <c r="K294" s="10" t="s">
        <v>150</v>
      </c>
      <c r="L294" s="10" t="s">
        <v>1274</v>
      </c>
      <c r="M294" s="11" t="s">
        <v>94</v>
      </c>
    </row>
    <row r="295" customFormat="false" ht="23.85" hidden="false" customHeight="false" outlineLevel="0" collapsed="false">
      <c r="A295" s="10" t="s">
        <v>1300</v>
      </c>
      <c r="B295" s="10" t="s">
        <v>1264</v>
      </c>
      <c r="C295" s="10" t="s">
        <v>1301</v>
      </c>
      <c r="D295" s="10" t="s">
        <v>1302</v>
      </c>
      <c r="E295" s="10" t="s">
        <v>1295</v>
      </c>
      <c r="F295" s="11" t="s">
        <v>105</v>
      </c>
      <c r="G295" s="11" t="n">
        <v>4</v>
      </c>
      <c r="H295" s="11" t="s">
        <v>143</v>
      </c>
      <c r="I295" s="11" t="s">
        <v>144</v>
      </c>
      <c r="J295" s="11" t="s">
        <v>91</v>
      </c>
      <c r="K295" s="10" t="s">
        <v>1303</v>
      </c>
      <c r="L295" s="10" t="s">
        <v>1274</v>
      </c>
      <c r="M295" s="11" t="s">
        <v>94</v>
      </c>
    </row>
    <row r="296" customFormat="false" ht="23.85" hidden="false" customHeight="false" outlineLevel="0" collapsed="false">
      <c r="A296" s="10" t="s">
        <v>1304</v>
      </c>
      <c r="B296" s="10" t="s">
        <v>1264</v>
      </c>
      <c r="C296" s="10" t="s">
        <v>1305</v>
      </c>
      <c r="D296" s="10" t="s">
        <v>1306</v>
      </c>
      <c r="E296" s="10" t="s">
        <v>403</v>
      </c>
      <c r="F296" s="11" t="s">
        <v>105</v>
      </c>
      <c r="G296" s="11" t="n">
        <v>4</v>
      </c>
      <c r="H296" s="11" t="s">
        <v>100</v>
      </c>
      <c r="I296" s="11" t="s">
        <v>144</v>
      </c>
      <c r="J296" s="11" t="s">
        <v>91</v>
      </c>
      <c r="K296" s="10" t="s">
        <v>221</v>
      </c>
      <c r="L296" s="10" t="s">
        <v>1274</v>
      </c>
      <c r="M296" s="11" t="s">
        <v>94</v>
      </c>
    </row>
    <row r="297" customFormat="false" ht="23.85" hidden="false" customHeight="false" outlineLevel="0" collapsed="false">
      <c r="A297" s="10" t="s">
        <v>1307</v>
      </c>
      <c r="B297" s="10" t="s">
        <v>1264</v>
      </c>
      <c r="C297" s="10" t="s">
        <v>1308</v>
      </c>
      <c r="D297" s="10" t="s">
        <v>1309</v>
      </c>
      <c r="E297" s="10" t="s">
        <v>403</v>
      </c>
      <c r="F297" s="11" t="s">
        <v>105</v>
      </c>
      <c r="G297" s="11" t="n">
        <v>3</v>
      </c>
      <c r="H297" s="11" t="s">
        <v>100</v>
      </c>
      <c r="I297" s="11" t="s">
        <v>144</v>
      </c>
      <c r="J297" s="11" t="s">
        <v>91</v>
      </c>
      <c r="K297" s="10" t="s">
        <v>221</v>
      </c>
      <c r="L297" s="10" t="s">
        <v>1274</v>
      </c>
      <c r="M297" s="11" t="s">
        <v>94</v>
      </c>
    </row>
    <row r="298" customFormat="false" ht="15" hidden="false" customHeight="false" outlineLevel="0" collapsed="false">
      <c r="A298" s="10" t="s">
        <v>1310</v>
      </c>
      <c r="B298" s="10" t="s">
        <v>1264</v>
      </c>
      <c r="C298" s="10" t="s">
        <v>1311</v>
      </c>
      <c r="D298" s="10" t="s">
        <v>1312</v>
      </c>
      <c r="E298" s="10" t="s">
        <v>403</v>
      </c>
      <c r="F298" s="11" t="s">
        <v>105</v>
      </c>
      <c r="G298" s="11" t="n">
        <v>3</v>
      </c>
      <c r="H298" s="11" t="s">
        <v>100</v>
      </c>
      <c r="I298" s="11" t="s">
        <v>144</v>
      </c>
      <c r="J298" s="11" t="s">
        <v>91</v>
      </c>
      <c r="K298" s="10" t="s">
        <v>1313</v>
      </c>
      <c r="L298" s="10" t="s">
        <v>1314</v>
      </c>
      <c r="M298" s="11" t="s">
        <v>94</v>
      </c>
    </row>
    <row r="299" customFormat="false" ht="23.85" hidden="false" customHeight="false" outlineLevel="0" collapsed="false">
      <c r="A299" s="10" t="s">
        <v>1315</v>
      </c>
      <c r="B299" s="10" t="s">
        <v>1264</v>
      </c>
      <c r="C299" s="10" t="s">
        <v>1316</v>
      </c>
      <c r="D299" s="10" t="s">
        <v>1317</v>
      </c>
      <c r="E299" s="10" t="s">
        <v>403</v>
      </c>
      <c r="F299" s="11" t="s">
        <v>105</v>
      </c>
      <c r="G299" s="11" t="n">
        <v>3</v>
      </c>
      <c r="H299" s="11" t="s">
        <v>100</v>
      </c>
      <c r="I299" s="11" t="s">
        <v>144</v>
      </c>
      <c r="J299" s="11" t="s">
        <v>91</v>
      </c>
      <c r="K299" s="10" t="s">
        <v>221</v>
      </c>
      <c r="L299" s="10" t="s">
        <v>1274</v>
      </c>
      <c r="M299" s="11" t="s">
        <v>94</v>
      </c>
    </row>
    <row r="300" customFormat="false" ht="15" hidden="false" customHeight="false" outlineLevel="0" collapsed="false">
      <c r="A300" s="10" t="s">
        <v>1318</v>
      </c>
      <c r="B300" s="10" t="s">
        <v>1264</v>
      </c>
      <c r="C300" s="10" t="s">
        <v>1319</v>
      </c>
      <c r="D300" s="10" t="s">
        <v>1320</v>
      </c>
      <c r="E300" s="10" t="s">
        <v>1321</v>
      </c>
      <c r="F300" s="11" t="s">
        <v>99</v>
      </c>
      <c r="G300" s="11" t="n">
        <v>2</v>
      </c>
      <c r="H300" s="11" t="s">
        <v>89</v>
      </c>
      <c r="I300" s="11" t="s">
        <v>144</v>
      </c>
      <c r="J300" s="11" t="s">
        <v>91</v>
      </c>
      <c r="K300" s="10" t="s">
        <v>1322</v>
      </c>
      <c r="L300" s="10" t="s">
        <v>1314</v>
      </c>
      <c r="M300" s="11" t="s">
        <v>94</v>
      </c>
    </row>
    <row r="301" customFormat="false" ht="23.85" hidden="false" customHeight="false" outlineLevel="0" collapsed="false">
      <c r="A301" s="10" t="s">
        <v>1323</v>
      </c>
      <c r="B301" s="10" t="s">
        <v>1264</v>
      </c>
      <c r="C301" s="10" t="s">
        <v>1324</v>
      </c>
      <c r="D301" s="10" t="s">
        <v>1325</v>
      </c>
      <c r="E301" s="10" t="s">
        <v>154</v>
      </c>
      <c r="F301" s="11" t="s">
        <v>105</v>
      </c>
      <c r="G301" s="11" t="n">
        <v>1</v>
      </c>
      <c r="H301" s="11" t="s">
        <v>89</v>
      </c>
      <c r="I301" s="11" t="s">
        <v>106</v>
      </c>
      <c r="J301" s="11" t="s">
        <v>155</v>
      </c>
      <c r="K301" s="10" t="s">
        <v>177</v>
      </c>
      <c r="L301" s="10" t="s">
        <v>1274</v>
      </c>
      <c r="M301" s="11" t="s">
        <v>157</v>
      </c>
    </row>
    <row r="302" customFormat="false" ht="23.85" hidden="false" customHeight="false" outlineLevel="0" collapsed="false">
      <c r="A302" s="10" t="s">
        <v>1326</v>
      </c>
      <c r="B302" s="10" t="s">
        <v>1264</v>
      </c>
      <c r="C302" s="10" t="s">
        <v>1327</v>
      </c>
      <c r="D302" s="10" t="s">
        <v>1328</v>
      </c>
      <c r="E302" s="10" t="s">
        <v>154</v>
      </c>
      <c r="F302" s="11" t="s">
        <v>105</v>
      </c>
      <c r="G302" s="11" t="n">
        <v>2</v>
      </c>
      <c r="H302" s="11" t="s">
        <v>89</v>
      </c>
      <c r="I302" s="11" t="s">
        <v>172</v>
      </c>
      <c r="J302" s="11" t="s">
        <v>805</v>
      </c>
      <c r="K302" s="10" t="s">
        <v>177</v>
      </c>
      <c r="L302" s="10" t="s">
        <v>1274</v>
      </c>
      <c r="M302" s="11" t="s">
        <v>157</v>
      </c>
    </row>
    <row r="303" customFormat="false" ht="23.85" hidden="false" customHeight="false" outlineLevel="0" collapsed="false">
      <c r="A303" s="10" t="s">
        <v>1329</v>
      </c>
      <c r="B303" s="10" t="s">
        <v>1330</v>
      </c>
      <c r="C303" s="10" t="s">
        <v>1331</v>
      </c>
      <c r="D303" s="10" t="s">
        <v>1332</v>
      </c>
      <c r="E303" s="10" t="s">
        <v>1333</v>
      </c>
      <c r="F303" s="11" t="s">
        <v>99</v>
      </c>
      <c r="G303" s="11" t="n">
        <v>4</v>
      </c>
      <c r="H303" s="11" t="s">
        <v>100</v>
      </c>
      <c r="I303" s="11" t="s">
        <v>106</v>
      </c>
      <c r="J303" s="11" t="s">
        <v>91</v>
      </c>
      <c r="K303" s="10" t="s">
        <v>374</v>
      </c>
      <c r="L303" s="10" t="s">
        <v>1334</v>
      </c>
      <c r="M303" s="11" t="s">
        <v>94</v>
      </c>
    </row>
    <row r="304" customFormat="false" ht="23.85" hidden="false" customHeight="false" outlineLevel="0" collapsed="false">
      <c r="A304" s="10" t="s">
        <v>1335</v>
      </c>
      <c r="B304" s="10" t="s">
        <v>1330</v>
      </c>
      <c r="C304" s="10" t="s">
        <v>1336</v>
      </c>
      <c r="D304" s="10" t="s">
        <v>1337</v>
      </c>
      <c r="E304" s="10" t="s">
        <v>1338</v>
      </c>
      <c r="F304" s="11" t="s">
        <v>99</v>
      </c>
      <c r="G304" s="11" t="n">
        <v>4</v>
      </c>
      <c r="H304" s="11" t="s">
        <v>100</v>
      </c>
      <c r="I304" s="11" t="s">
        <v>106</v>
      </c>
      <c r="J304" s="11" t="s">
        <v>91</v>
      </c>
      <c r="K304" s="10" t="s">
        <v>1339</v>
      </c>
      <c r="L304" s="10" t="s">
        <v>1334</v>
      </c>
      <c r="M304" s="11" t="s">
        <v>94</v>
      </c>
    </row>
    <row r="305" customFormat="false" ht="23.85" hidden="false" customHeight="false" outlineLevel="0" collapsed="false">
      <c r="A305" s="10" t="s">
        <v>1340</v>
      </c>
      <c r="B305" s="10" t="s">
        <v>1330</v>
      </c>
      <c r="C305" s="10" t="s">
        <v>1341</v>
      </c>
      <c r="D305" s="10" t="s">
        <v>1342</v>
      </c>
      <c r="E305" s="10" t="s">
        <v>403</v>
      </c>
      <c r="F305" s="11" t="s">
        <v>105</v>
      </c>
      <c r="G305" s="11" t="n">
        <v>4</v>
      </c>
      <c r="H305" s="11" t="s">
        <v>100</v>
      </c>
      <c r="I305" s="11" t="s">
        <v>106</v>
      </c>
      <c r="J305" s="11" t="s">
        <v>91</v>
      </c>
      <c r="K305" s="10" t="s">
        <v>254</v>
      </c>
      <c r="L305" s="10" t="s">
        <v>1334</v>
      </c>
      <c r="M305" s="11" t="s">
        <v>94</v>
      </c>
    </row>
    <row r="306" customFormat="false" ht="23.85" hidden="false" customHeight="false" outlineLevel="0" collapsed="false">
      <c r="A306" s="10" t="s">
        <v>1343</v>
      </c>
      <c r="B306" s="10" t="s">
        <v>1330</v>
      </c>
      <c r="C306" s="10" t="s">
        <v>1344</v>
      </c>
      <c r="D306" s="10" t="s">
        <v>1345</v>
      </c>
      <c r="E306" s="10" t="s">
        <v>403</v>
      </c>
      <c r="F306" s="11" t="s">
        <v>105</v>
      </c>
      <c r="G306" s="11" t="n">
        <v>3</v>
      </c>
      <c r="H306" s="11" t="s">
        <v>89</v>
      </c>
      <c r="I306" s="11" t="s">
        <v>106</v>
      </c>
      <c r="J306" s="11" t="s">
        <v>91</v>
      </c>
      <c r="K306" s="10" t="s">
        <v>518</v>
      </c>
      <c r="L306" s="10" t="s">
        <v>1334</v>
      </c>
      <c r="M306" s="11" t="s">
        <v>94</v>
      </c>
    </row>
    <row r="307" customFormat="false" ht="23.85" hidden="false" customHeight="false" outlineLevel="0" collapsed="false">
      <c r="A307" s="10" t="s">
        <v>1346</v>
      </c>
      <c r="B307" s="10" t="s">
        <v>1330</v>
      </c>
      <c r="C307" s="10" t="s">
        <v>1347</v>
      </c>
      <c r="D307" s="10" t="s">
        <v>1348</v>
      </c>
      <c r="E307" s="10" t="s">
        <v>1349</v>
      </c>
      <c r="F307" s="11" t="s">
        <v>99</v>
      </c>
      <c r="G307" s="11" t="n">
        <v>3</v>
      </c>
      <c r="H307" s="11" t="s">
        <v>89</v>
      </c>
      <c r="I307" s="11" t="s">
        <v>106</v>
      </c>
      <c r="J307" s="11" t="s">
        <v>91</v>
      </c>
      <c r="K307" s="10" t="s">
        <v>518</v>
      </c>
      <c r="L307" s="10" t="s">
        <v>1334</v>
      </c>
      <c r="M307" s="11" t="s">
        <v>94</v>
      </c>
    </row>
    <row r="308" customFormat="false" ht="23.85" hidden="false" customHeight="false" outlineLevel="0" collapsed="false">
      <c r="A308" s="10" t="s">
        <v>1350</v>
      </c>
      <c r="B308" s="10" t="s">
        <v>1330</v>
      </c>
      <c r="C308" s="10" t="s">
        <v>1351</v>
      </c>
      <c r="D308" s="10" t="s">
        <v>1352</v>
      </c>
      <c r="E308" s="10" t="s">
        <v>403</v>
      </c>
      <c r="F308" s="11" t="s">
        <v>105</v>
      </c>
      <c r="G308" s="11" t="n">
        <v>3</v>
      </c>
      <c r="H308" s="11" t="s">
        <v>100</v>
      </c>
      <c r="I308" s="11" t="s">
        <v>106</v>
      </c>
      <c r="J308" s="11" t="s">
        <v>91</v>
      </c>
      <c r="K308" s="10" t="s">
        <v>236</v>
      </c>
      <c r="L308" s="10" t="s">
        <v>1334</v>
      </c>
      <c r="M308" s="11" t="s">
        <v>94</v>
      </c>
    </row>
    <row r="309" customFormat="false" ht="23.85" hidden="false" customHeight="false" outlineLevel="0" collapsed="false">
      <c r="A309" s="10" t="s">
        <v>1353</v>
      </c>
      <c r="B309" s="10" t="s">
        <v>1330</v>
      </c>
      <c r="C309" s="10" t="s">
        <v>1354</v>
      </c>
      <c r="D309" s="10" t="s">
        <v>1355</v>
      </c>
      <c r="E309" s="10" t="s">
        <v>403</v>
      </c>
      <c r="F309" s="11" t="s">
        <v>105</v>
      </c>
      <c r="G309" s="11" t="n">
        <v>4</v>
      </c>
      <c r="H309" s="11" t="s">
        <v>100</v>
      </c>
      <c r="I309" s="11" t="s">
        <v>106</v>
      </c>
      <c r="J309" s="11" t="s">
        <v>91</v>
      </c>
      <c r="K309" s="10" t="s">
        <v>907</v>
      </c>
      <c r="L309" s="10" t="s">
        <v>1334</v>
      </c>
      <c r="M309" s="11" t="s">
        <v>94</v>
      </c>
    </row>
    <row r="310" customFormat="false" ht="23.85" hidden="false" customHeight="false" outlineLevel="0" collapsed="false">
      <c r="A310" s="10" t="s">
        <v>1356</v>
      </c>
      <c r="B310" s="10" t="s">
        <v>1330</v>
      </c>
      <c r="C310" s="10" t="s">
        <v>1357</v>
      </c>
      <c r="D310" s="10" t="s">
        <v>1358</v>
      </c>
      <c r="E310" s="10" t="s">
        <v>403</v>
      </c>
      <c r="F310" s="11" t="s">
        <v>105</v>
      </c>
      <c r="G310" s="11" t="n">
        <v>3</v>
      </c>
      <c r="H310" s="11" t="s">
        <v>100</v>
      </c>
      <c r="I310" s="11" t="s">
        <v>144</v>
      </c>
      <c r="J310" s="11" t="s">
        <v>91</v>
      </c>
      <c r="K310" s="10" t="s">
        <v>710</v>
      </c>
      <c r="L310" s="10" t="s">
        <v>1334</v>
      </c>
      <c r="M310" s="11" t="s">
        <v>94</v>
      </c>
    </row>
    <row r="311" customFormat="false" ht="23.85" hidden="false" customHeight="false" outlineLevel="0" collapsed="false">
      <c r="A311" s="10" t="s">
        <v>1359</v>
      </c>
      <c r="B311" s="10" t="s">
        <v>1330</v>
      </c>
      <c r="C311" s="10" t="s">
        <v>1360</v>
      </c>
      <c r="D311" s="10" t="s">
        <v>1361</v>
      </c>
      <c r="E311" s="10" t="s">
        <v>1362</v>
      </c>
      <c r="F311" s="11" t="s">
        <v>99</v>
      </c>
      <c r="G311" s="11" t="n">
        <v>3</v>
      </c>
      <c r="H311" s="11" t="s">
        <v>89</v>
      </c>
      <c r="I311" s="11" t="s">
        <v>144</v>
      </c>
      <c r="J311" s="11" t="s">
        <v>91</v>
      </c>
      <c r="K311" s="10" t="s">
        <v>518</v>
      </c>
      <c r="L311" s="10" t="s">
        <v>1334</v>
      </c>
      <c r="M311" s="11" t="s">
        <v>94</v>
      </c>
    </row>
    <row r="312" customFormat="false" ht="23.85" hidden="false" customHeight="false" outlineLevel="0" collapsed="false">
      <c r="A312" s="10" t="s">
        <v>1363</v>
      </c>
      <c r="B312" s="10" t="s">
        <v>1330</v>
      </c>
      <c r="C312" s="10" t="s">
        <v>1364</v>
      </c>
      <c r="D312" s="10" t="s">
        <v>1365</v>
      </c>
      <c r="E312" s="10" t="s">
        <v>403</v>
      </c>
      <c r="F312" s="11" t="s">
        <v>105</v>
      </c>
      <c r="G312" s="11" t="n">
        <v>3</v>
      </c>
      <c r="H312" s="11" t="s">
        <v>100</v>
      </c>
      <c r="I312" s="11" t="s">
        <v>144</v>
      </c>
      <c r="J312" s="11" t="s">
        <v>91</v>
      </c>
      <c r="K312" s="10" t="s">
        <v>1167</v>
      </c>
      <c r="L312" s="10" t="s">
        <v>1334</v>
      </c>
      <c r="M312" s="11" t="s">
        <v>94</v>
      </c>
    </row>
    <row r="313" customFormat="false" ht="23.85" hidden="false" customHeight="false" outlineLevel="0" collapsed="false">
      <c r="A313" s="10" t="s">
        <v>1366</v>
      </c>
      <c r="B313" s="10" t="s">
        <v>1330</v>
      </c>
      <c r="C313" s="10" t="s">
        <v>1367</v>
      </c>
      <c r="D313" s="10" t="s">
        <v>1368</v>
      </c>
      <c r="E313" s="10" t="s">
        <v>403</v>
      </c>
      <c r="F313" s="11" t="s">
        <v>105</v>
      </c>
      <c r="G313" s="11" t="n">
        <v>4</v>
      </c>
      <c r="H313" s="11" t="s">
        <v>100</v>
      </c>
      <c r="I313" s="11" t="s">
        <v>144</v>
      </c>
      <c r="J313" s="11" t="s">
        <v>91</v>
      </c>
      <c r="K313" s="10" t="s">
        <v>1167</v>
      </c>
      <c r="L313" s="10" t="s">
        <v>1334</v>
      </c>
      <c r="M313" s="11" t="s">
        <v>94</v>
      </c>
    </row>
    <row r="314" customFormat="false" ht="23.85" hidden="false" customHeight="false" outlineLevel="0" collapsed="false">
      <c r="A314" s="10" t="s">
        <v>1369</v>
      </c>
      <c r="B314" s="10" t="s">
        <v>1330</v>
      </c>
      <c r="C314" s="10" t="s">
        <v>1370</v>
      </c>
      <c r="D314" s="10" t="s">
        <v>1371</v>
      </c>
      <c r="E314" s="10" t="s">
        <v>403</v>
      </c>
      <c r="F314" s="11" t="s">
        <v>105</v>
      </c>
      <c r="G314" s="11" t="n">
        <v>2</v>
      </c>
      <c r="H314" s="11" t="s">
        <v>89</v>
      </c>
      <c r="I314" s="11" t="s">
        <v>144</v>
      </c>
      <c r="J314" s="11" t="s">
        <v>91</v>
      </c>
      <c r="K314" s="10" t="s">
        <v>118</v>
      </c>
      <c r="L314" s="10" t="s">
        <v>1334</v>
      </c>
      <c r="M314" s="11" t="s">
        <v>94</v>
      </c>
    </row>
    <row r="315" customFormat="false" ht="23.85" hidden="false" customHeight="false" outlineLevel="0" collapsed="false">
      <c r="A315" s="10" t="s">
        <v>1372</v>
      </c>
      <c r="B315" s="10" t="s">
        <v>1330</v>
      </c>
      <c r="C315" s="10" t="s">
        <v>1373</v>
      </c>
      <c r="D315" s="10" t="s">
        <v>1374</v>
      </c>
      <c r="E315" s="10" t="s">
        <v>403</v>
      </c>
      <c r="F315" s="11" t="s">
        <v>105</v>
      </c>
      <c r="G315" s="11" t="n">
        <v>3</v>
      </c>
      <c r="H315" s="11" t="s">
        <v>100</v>
      </c>
      <c r="I315" s="11" t="s">
        <v>144</v>
      </c>
      <c r="J315" s="11" t="s">
        <v>91</v>
      </c>
      <c r="K315" s="10" t="s">
        <v>710</v>
      </c>
      <c r="L315" s="10" t="s">
        <v>1334</v>
      </c>
      <c r="M315" s="11" t="s">
        <v>94</v>
      </c>
    </row>
    <row r="316" customFormat="false" ht="15" hidden="false" customHeight="false" outlineLevel="0" collapsed="false">
      <c r="A316" s="10" t="s">
        <v>1375</v>
      </c>
      <c r="B316" s="10" t="s">
        <v>1330</v>
      </c>
      <c r="C316" s="10" t="s">
        <v>1376</v>
      </c>
      <c r="D316" s="10" t="s">
        <v>1377</v>
      </c>
      <c r="E316" s="10" t="s">
        <v>403</v>
      </c>
      <c r="F316" s="11" t="s">
        <v>105</v>
      </c>
      <c r="G316" s="11" t="n">
        <v>2</v>
      </c>
      <c r="H316" s="11" t="s">
        <v>89</v>
      </c>
      <c r="I316" s="11" t="s">
        <v>144</v>
      </c>
      <c r="J316" s="11" t="s">
        <v>91</v>
      </c>
      <c r="K316" s="10" t="s">
        <v>725</v>
      </c>
      <c r="L316" s="10" t="s">
        <v>1378</v>
      </c>
      <c r="M316" s="11" t="s">
        <v>94</v>
      </c>
    </row>
    <row r="317" customFormat="false" ht="23.85" hidden="false" customHeight="false" outlineLevel="0" collapsed="false">
      <c r="A317" s="10" t="s">
        <v>1379</v>
      </c>
      <c r="B317" s="10" t="s">
        <v>1330</v>
      </c>
      <c r="C317" s="10" t="s">
        <v>1380</v>
      </c>
      <c r="D317" s="10" t="s">
        <v>1381</v>
      </c>
      <c r="E317" s="10" t="s">
        <v>403</v>
      </c>
      <c r="F317" s="11" t="s">
        <v>105</v>
      </c>
      <c r="G317" s="11" t="n">
        <v>3</v>
      </c>
      <c r="H317" s="11" t="s">
        <v>89</v>
      </c>
      <c r="I317" s="11" t="s">
        <v>172</v>
      </c>
      <c r="J317" s="11" t="s">
        <v>91</v>
      </c>
      <c r="K317" s="10" t="s">
        <v>135</v>
      </c>
      <c r="L317" s="10" t="s">
        <v>1334</v>
      </c>
      <c r="M317" s="11" t="s">
        <v>94</v>
      </c>
    </row>
    <row r="318" customFormat="false" ht="23.85" hidden="false" customHeight="false" outlineLevel="0" collapsed="false">
      <c r="A318" s="10" t="s">
        <v>1382</v>
      </c>
      <c r="B318" s="10" t="s">
        <v>1330</v>
      </c>
      <c r="C318" s="10" t="s">
        <v>1383</v>
      </c>
      <c r="D318" s="10" t="s">
        <v>1384</v>
      </c>
      <c r="E318" s="10" t="s">
        <v>154</v>
      </c>
      <c r="F318" s="11" t="s">
        <v>105</v>
      </c>
      <c r="G318" s="11" t="n">
        <v>2</v>
      </c>
      <c r="H318" s="11" t="s">
        <v>100</v>
      </c>
      <c r="I318" s="11" t="s">
        <v>172</v>
      </c>
      <c r="J318" s="11" t="s">
        <v>176</v>
      </c>
      <c r="K318" s="10" t="s">
        <v>177</v>
      </c>
      <c r="L318" s="10" t="s">
        <v>1334</v>
      </c>
      <c r="M318" s="11" t="s">
        <v>157</v>
      </c>
    </row>
    <row r="319" customFormat="false" ht="23.85" hidden="false" customHeight="false" outlineLevel="0" collapsed="false">
      <c r="A319" s="10" t="s">
        <v>1385</v>
      </c>
      <c r="B319" s="10" t="s">
        <v>1386</v>
      </c>
      <c r="C319" s="10" t="s">
        <v>1387</v>
      </c>
      <c r="D319" s="10" t="s">
        <v>1388</v>
      </c>
      <c r="E319" s="10" t="s">
        <v>1389</v>
      </c>
      <c r="F319" s="11" t="s">
        <v>88</v>
      </c>
      <c r="G319" s="11" t="n">
        <v>4</v>
      </c>
      <c r="H319" s="11" t="s">
        <v>89</v>
      </c>
      <c r="I319" s="11" t="s">
        <v>106</v>
      </c>
      <c r="J319" s="11" t="s">
        <v>91</v>
      </c>
      <c r="K319" s="10" t="s">
        <v>118</v>
      </c>
      <c r="L319" s="10" t="s">
        <v>1390</v>
      </c>
      <c r="M319" s="11" t="s">
        <v>94</v>
      </c>
    </row>
    <row r="320" customFormat="false" ht="23.85" hidden="false" customHeight="false" outlineLevel="0" collapsed="false">
      <c r="A320" s="10" t="s">
        <v>1391</v>
      </c>
      <c r="B320" s="10" t="s">
        <v>1386</v>
      </c>
      <c r="C320" s="10" t="s">
        <v>1392</v>
      </c>
      <c r="D320" s="10" t="s">
        <v>1393</v>
      </c>
      <c r="E320" s="10" t="s">
        <v>1394</v>
      </c>
      <c r="F320" s="11" t="s">
        <v>99</v>
      </c>
      <c r="G320" s="11" t="n">
        <v>4</v>
      </c>
      <c r="H320" s="11" t="s">
        <v>100</v>
      </c>
      <c r="I320" s="11" t="s">
        <v>106</v>
      </c>
      <c r="J320" s="11" t="s">
        <v>91</v>
      </c>
      <c r="K320" s="10" t="s">
        <v>1395</v>
      </c>
      <c r="L320" s="10" t="s">
        <v>1390</v>
      </c>
      <c r="M320" s="11" t="s">
        <v>94</v>
      </c>
    </row>
    <row r="321" customFormat="false" ht="23.85" hidden="false" customHeight="false" outlineLevel="0" collapsed="false">
      <c r="A321" s="10" t="s">
        <v>1396</v>
      </c>
      <c r="B321" s="10" t="s">
        <v>1386</v>
      </c>
      <c r="C321" s="10" t="s">
        <v>1397</v>
      </c>
      <c r="D321" s="10" t="s">
        <v>1398</v>
      </c>
      <c r="E321" s="10" t="s">
        <v>1394</v>
      </c>
      <c r="F321" s="11" t="s">
        <v>99</v>
      </c>
      <c r="G321" s="11" t="n">
        <v>3</v>
      </c>
      <c r="H321" s="11" t="s">
        <v>89</v>
      </c>
      <c r="I321" s="11" t="s">
        <v>106</v>
      </c>
      <c r="J321" s="11" t="s">
        <v>91</v>
      </c>
      <c r="K321" s="10" t="s">
        <v>236</v>
      </c>
      <c r="L321" s="10" t="s">
        <v>1390</v>
      </c>
      <c r="M321" s="11" t="s">
        <v>94</v>
      </c>
    </row>
    <row r="322" customFormat="false" ht="23.85" hidden="false" customHeight="false" outlineLevel="0" collapsed="false">
      <c r="A322" s="10" t="s">
        <v>1399</v>
      </c>
      <c r="B322" s="10" t="s">
        <v>1386</v>
      </c>
      <c r="C322" s="10" t="s">
        <v>1400</v>
      </c>
      <c r="D322" s="10" t="s">
        <v>1401</v>
      </c>
      <c r="E322" s="10" t="s">
        <v>1394</v>
      </c>
      <c r="F322" s="11" t="s">
        <v>105</v>
      </c>
      <c r="G322" s="11" t="n">
        <v>4</v>
      </c>
      <c r="H322" s="11" t="s">
        <v>89</v>
      </c>
      <c r="I322" s="11" t="s">
        <v>106</v>
      </c>
      <c r="J322" s="11" t="s">
        <v>91</v>
      </c>
      <c r="K322" s="10" t="s">
        <v>725</v>
      </c>
      <c r="L322" s="10" t="s">
        <v>1390</v>
      </c>
      <c r="M322" s="11" t="s">
        <v>94</v>
      </c>
    </row>
    <row r="323" customFormat="false" ht="23.85" hidden="false" customHeight="false" outlineLevel="0" collapsed="false">
      <c r="A323" s="10" t="s">
        <v>1402</v>
      </c>
      <c r="B323" s="10" t="s">
        <v>1386</v>
      </c>
      <c r="C323" s="10" t="s">
        <v>1403</v>
      </c>
      <c r="D323" s="10" t="s">
        <v>1404</v>
      </c>
      <c r="E323" s="10" t="s">
        <v>403</v>
      </c>
      <c r="F323" s="11" t="s">
        <v>105</v>
      </c>
      <c r="G323" s="11" t="n">
        <v>3</v>
      </c>
      <c r="H323" s="11" t="s">
        <v>89</v>
      </c>
      <c r="I323" s="11" t="s">
        <v>106</v>
      </c>
      <c r="J323" s="11" t="s">
        <v>91</v>
      </c>
      <c r="K323" s="10" t="s">
        <v>1405</v>
      </c>
      <c r="L323" s="10" t="s">
        <v>1390</v>
      </c>
      <c r="M323" s="11" t="s">
        <v>94</v>
      </c>
    </row>
    <row r="324" customFormat="false" ht="23.85" hidden="false" customHeight="false" outlineLevel="0" collapsed="false">
      <c r="A324" s="10" t="s">
        <v>1406</v>
      </c>
      <c r="B324" s="10" t="s">
        <v>1386</v>
      </c>
      <c r="C324" s="10" t="s">
        <v>1407</v>
      </c>
      <c r="D324" s="10" t="s">
        <v>1408</v>
      </c>
      <c r="E324" s="10" t="s">
        <v>1409</v>
      </c>
      <c r="F324" s="11" t="s">
        <v>99</v>
      </c>
      <c r="G324" s="11" t="n">
        <v>3</v>
      </c>
      <c r="H324" s="11" t="s">
        <v>100</v>
      </c>
      <c r="I324" s="11" t="s">
        <v>144</v>
      </c>
      <c r="J324" s="11" t="s">
        <v>91</v>
      </c>
      <c r="K324" s="10" t="s">
        <v>145</v>
      </c>
      <c r="L324" s="10" t="s">
        <v>1390</v>
      </c>
      <c r="M324" s="11" t="s">
        <v>94</v>
      </c>
    </row>
    <row r="325" customFormat="false" ht="23.85" hidden="false" customHeight="false" outlineLevel="0" collapsed="false">
      <c r="A325" s="10" t="s">
        <v>1410</v>
      </c>
      <c r="B325" s="10" t="s">
        <v>1386</v>
      </c>
      <c r="C325" s="10" t="s">
        <v>1411</v>
      </c>
      <c r="D325" s="10" t="s">
        <v>1412</v>
      </c>
      <c r="E325" s="10" t="s">
        <v>1413</v>
      </c>
      <c r="F325" s="11" t="s">
        <v>99</v>
      </c>
      <c r="G325" s="11" t="n">
        <v>2</v>
      </c>
      <c r="H325" s="11" t="s">
        <v>89</v>
      </c>
      <c r="I325" s="11" t="s">
        <v>144</v>
      </c>
      <c r="J325" s="11" t="s">
        <v>91</v>
      </c>
      <c r="K325" s="10" t="s">
        <v>236</v>
      </c>
      <c r="L325" s="10" t="s">
        <v>1390</v>
      </c>
      <c r="M325" s="11" t="s">
        <v>94</v>
      </c>
    </row>
    <row r="326" customFormat="false" ht="23.85" hidden="false" customHeight="false" outlineLevel="0" collapsed="false">
      <c r="A326" s="10" t="s">
        <v>1414</v>
      </c>
      <c r="B326" s="10" t="s">
        <v>1386</v>
      </c>
      <c r="C326" s="10" t="s">
        <v>1415</v>
      </c>
      <c r="D326" s="10" t="s">
        <v>1416</v>
      </c>
      <c r="E326" s="10" t="s">
        <v>403</v>
      </c>
      <c r="F326" s="11" t="s">
        <v>105</v>
      </c>
      <c r="G326" s="11" t="n">
        <v>3</v>
      </c>
      <c r="H326" s="11" t="s">
        <v>89</v>
      </c>
      <c r="I326" s="11" t="s">
        <v>144</v>
      </c>
      <c r="J326" s="11" t="s">
        <v>91</v>
      </c>
      <c r="K326" s="10" t="s">
        <v>576</v>
      </c>
      <c r="L326" s="10" t="s">
        <v>1390</v>
      </c>
      <c r="M326" s="11" t="s">
        <v>94</v>
      </c>
    </row>
    <row r="327" customFormat="false" ht="23.85" hidden="false" customHeight="false" outlineLevel="0" collapsed="false">
      <c r="A327" s="10" t="s">
        <v>1417</v>
      </c>
      <c r="B327" s="10" t="s">
        <v>1386</v>
      </c>
      <c r="C327" s="10" t="s">
        <v>1418</v>
      </c>
      <c r="D327" s="10" t="s">
        <v>1419</v>
      </c>
      <c r="E327" s="10" t="s">
        <v>403</v>
      </c>
      <c r="F327" s="11" t="s">
        <v>105</v>
      </c>
      <c r="G327" s="11" t="n">
        <v>2</v>
      </c>
      <c r="H327" s="11" t="s">
        <v>89</v>
      </c>
      <c r="I327" s="11" t="s">
        <v>144</v>
      </c>
      <c r="J327" s="11" t="s">
        <v>91</v>
      </c>
      <c r="K327" s="10" t="s">
        <v>213</v>
      </c>
      <c r="L327" s="10" t="s">
        <v>1390</v>
      </c>
      <c r="M327" s="11" t="s">
        <v>94</v>
      </c>
    </row>
    <row r="328" customFormat="false" ht="23.85" hidden="false" customHeight="false" outlineLevel="0" collapsed="false">
      <c r="A328" s="10" t="s">
        <v>1420</v>
      </c>
      <c r="B328" s="10" t="s">
        <v>1386</v>
      </c>
      <c r="C328" s="10" t="s">
        <v>1421</v>
      </c>
      <c r="D328" s="10" t="s">
        <v>1422</v>
      </c>
      <c r="E328" s="10" t="s">
        <v>1423</v>
      </c>
      <c r="F328" s="11" t="s">
        <v>99</v>
      </c>
      <c r="G328" s="11" t="n">
        <v>3</v>
      </c>
      <c r="H328" s="11" t="s">
        <v>100</v>
      </c>
      <c r="I328" s="11" t="s">
        <v>144</v>
      </c>
      <c r="J328" s="11" t="s">
        <v>91</v>
      </c>
      <c r="K328" s="10" t="s">
        <v>236</v>
      </c>
      <c r="L328" s="10" t="s">
        <v>1390</v>
      </c>
      <c r="M328" s="11" t="s">
        <v>94</v>
      </c>
    </row>
    <row r="329" customFormat="false" ht="23.85" hidden="false" customHeight="false" outlineLevel="0" collapsed="false">
      <c r="A329" s="10" t="s">
        <v>1424</v>
      </c>
      <c r="B329" s="10" t="s">
        <v>1386</v>
      </c>
      <c r="C329" s="10" t="s">
        <v>1425</v>
      </c>
      <c r="D329" s="10" t="s">
        <v>1426</v>
      </c>
      <c r="E329" s="10" t="s">
        <v>1427</v>
      </c>
      <c r="F329" s="11" t="s">
        <v>99</v>
      </c>
      <c r="G329" s="11" t="n">
        <v>2</v>
      </c>
      <c r="H329" s="11" t="s">
        <v>89</v>
      </c>
      <c r="I329" s="11" t="s">
        <v>144</v>
      </c>
      <c r="J329" s="11" t="s">
        <v>91</v>
      </c>
      <c r="K329" s="10" t="s">
        <v>213</v>
      </c>
      <c r="L329" s="10" t="s">
        <v>1428</v>
      </c>
      <c r="M329" s="11" t="s">
        <v>94</v>
      </c>
    </row>
    <row r="330" customFormat="false" ht="23.85" hidden="false" customHeight="false" outlineLevel="0" collapsed="false">
      <c r="A330" s="10" t="s">
        <v>1429</v>
      </c>
      <c r="B330" s="10" t="s">
        <v>1386</v>
      </c>
      <c r="C330" s="10" t="s">
        <v>1430</v>
      </c>
      <c r="D330" s="10" t="s">
        <v>1431</v>
      </c>
      <c r="E330" s="10" t="s">
        <v>403</v>
      </c>
      <c r="F330" s="11" t="s">
        <v>105</v>
      </c>
      <c r="G330" s="11" t="n">
        <v>2</v>
      </c>
      <c r="H330" s="11" t="s">
        <v>89</v>
      </c>
      <c r="I330" s="11" t="s">
        <v>172</v>
      </c>
      <c r="J330" s="11" t="s">
        <v>91</v>
      </c>
      <c r="K330" s="10" t="s">
        <v>135</v>
      </c>
      <c r="L330" s="10" t="s">
        <v>1390</v>
      </c>
      <c r="M330" s="11" t="s">
        <v>94</v>
      </c>
    </row>
    <row r="331" customFormat="false" ht="23.85" hidden="false" customHeight="false" outlineLevel="0" collapsed="false">
      <c r="A331" s="10" t="s">
        <v>1432</v>
      </c>
      <c r="B331" s="10" t="s">
        <v>1386</v>
      </c>
      <c r="C331" s="10" t="s">
        <v>1433</v>
      </c>
      <c r="D331" s="10" t="s">
        <v>1434</v>
      </c>
      <c r="E331" s="10" t="s">
        <v>1435</v>
      </c>
      <c r="F331" s="11" t="s">
        <v>105</v>
      </c>
      <c r="G331" s="11" t="n">
        <v>2</v>
      </c>
      <c r="H331" s="11" t="s">
        <v>100</v>
      </c>
      <c r="I331" s="11" t="s">
        <v>172</v>
      </c>
      <c r="J331" s="11" t="s">
        <v>176</v>
      </c>
      <c r="K331" s="10" t="s">
        <v>177</v>
      </c>
      <c r="L331" s="10" t="s">
        <v>1390</v>
      </c>
      <c r="M331" s="11" t="s">
        <v>157</v>
      </c>
    </row>
    <row r="332" customFormat="false" ht="23.85" hidden="false" customHeight="false" outlineLevel="0" collapsed="false">
      <c r="A332" s="10" t="s">
        <v>1436</v>
      </c>
      <c r="B332" s="10" t="s">
        <v>1386</v>
      </c>
      <c r="C332" s="10" t="s">
        <v>1437</v>
      </c>
      <c r="D332" s="10" t="s">
        <v>1438</v>
      </c>
      <c r="E332" s="10" t="s">
        <v>154</v>
      </c>
      <c r="F332" s="11" t="s">
        <v>105</v>
      </c>
      <c r="G332" s="11" t="n">
        <v>1</v>
      </c>
      <c r="H332" s="11" t="s">
        <v>89</v>
      </c>
      <c r="I332" s="11" t="s">
        <v>172</v>
      </c>
      <c r="J332" s="11" t="s">
        <v>805</v>
      </c>
      <c r="K332" s="10" t="s">
        <v>177</v>
      </c>
      <c r="L332" s="10" t="s">
        <v>1390</v>
      </c>
      <c r="M332" s="11" t="s">
        <v>157</v>
      </c>
    </row>
    <row r="333" customFormat="false" ht="23.85" hidden="false" customHeight="false" outlineLevel="0" collapsed="false">
      <c r="A333" s="10" t="s">
        <v>1439</v>
      </c>
      <c r="B333" s="10" t="s">
        <v>1440</v>
      </c>
      <c r="C333" s="10" t="s">
        <v>1441</v>
      </c>
      <c r="D333" s="10" t="s">
        <v>1442</v>
      </c>
      <c r="E333" s="10" t="s">
        <v>1443</v>
      </c>
      <c r="F333" s="11" t="s">
        <v>99</v>
      </c>
      <c r="G333" s="11" t="n">
        <v>5</v>
      </c>
      <c r="H333" s="11" t="s">
        <v>143</v>
      </c>
      <c r="I333" s="11" t="s">
        <v>106</v>
      </c>
      <c r="J333" s="11" t="s">
        <v>91</v>
      </c>
      <c r="K333" s="10" t="s">
        <v>139</v>
      </c>
      <c r="L333" s="10" t="s">
        <v>1444</v>
      </c>
      <c r="M333" s="11" t="s">
        <v>94</v>
      </c>
    </row>
    <row r="334" customFormat="false" ht="23.85" hidden="false" customHeight="false" outlineLevel="0" collapsed="false">
      <c r="A334" s="10" t="s">
        <v>1445</v>
      </c>
      <c r="B334" s="10" t="s">
        <v>1440</v>
      </c>
      <c r="C334" s="10" t="s">
        <v>1446</v>
      </c>
      <c r="D334" s="10" t="s">
        <v>1447</v>
      </c>
      <c r="E334" s="10" t="s">
        <v>403</v>
      </c>
      <c r="F334" s="11" t="s">
        <v>105</v>
      </c>
      <c r="G334" s="11" t="n">
        <v>5</v>
      </c>
      <c r="H334" s="11" t="s">
        <v>143</v>
      </c>
      <c r="I334" s="11" t="s">
        <v>106</v>
      </c>
      <c r="J334" s="11" t="s">
        <v>91</v>
      </c>
      <c r="K334" s="10" t="s">
        <v>1448</v>
      </c>
      <c r="L334" s="10" t="s">
        <v>1444</v>
      </c>
      <c r="M334" s="11" t="s">
        <v>94</v>
      </c>
    </row>
    <row r="335" customFormat="false" ht="23.85" hidden="false" customHeight="false" outlineLevel="0" collapsed="false">
      <c r="A335" s="10" t="s">
        <v>1449</v>
      </c>
      <c r="B335" s="10" t="s">
        <v>1440</v>
      </c>
      <c r="C335" s="10" t="s">
        <v>1450</v>
      </c>
      <c r="D335" s="10" t="s">
        <v>1451</v>
      </c>
      <c r="E335" s="10" t="s">
        <v>1452</v>
      </c>
      <c r="F335" s="11" t="s">
        <v>105</v>
      </c>
      <c r="G335" s="11" t="n">
        <v>5</v>
      </c>
      <c r="H335" s="11" t="s">
        <v>143</v>
      </c>
      <c r="I335" s="11" t="s">
        <v>106</v>
      </c>
      <c r="J335" s="11" t="s">
        <v>91</v>
      </c>
      <c r="K335" s="10" t="s">
        <v>217</v>
      </c>
      <c r="L335" s="10" t="s">
        <v>1453</v>
      </c>
      <c r="M335" s="11" t="s">
        <v>94</v>
      </c>
    </row>
    <row r="336" customFormat="false" ht="23.85" hidden="false" customHeight="false" outlineLevel="0" collapsed="false">
      <c r="A336" s="10" t="s">
        <v>1454</v>
      </c>
      <c r="B336" s="10" t="s">
        <v>1440</v>
      </c>
      <c r="C336" s="10" t="s">
        <v>1455</v>
      </c>
      <c r="D336" s="10" t="s">
        <v>1456</v>
      </c>
      <c r="E336" s="10" t="s">
        <v>403</v>
      </c>
      <c r="F336" s="11" t="s">
        <v>105</v>
      </c>
      <c r="G336" s="11" t="n">
        <v>3</v>
      </c>
      <c r="H336" s="11" t="s">
        <v>100</v>
      </c>
      <c r="I336" s="11" t="s">
        <v>144</v>
      </c>
      <c r="J336" s="11" t="s">
        <v>91</v>
      </c>
      <c r="K336" s="10" t="s">
        <v>1457</v>
      </c>
      <c r="L336" s="10" t="s">
        <v>1444</v>
      </c>
      <c r="M336" s="11" t="s">
        <v>94</v>
      </c>
    </row>
    <row r="337" customFormat="false" ht="23.85" hidden="false" customHeight="false" outlineLevel="0" collapsed="false">
      <c r="A337" s="10" t="s">
        <v>1458</v>
      </c>
      <c r="B337" s="10" t="s">
        <v>1440</v>
      </c>
      <c r="C337" s="10" t="s">
        <v>1459</v>
      </c>
      <c r="D337" s="10" t="s">
        <v>1460</v>
      </c>
      <c r="E337" s="10" t="s">
        <v>1461</v>
      </c>
      <c r="F337" s="11" t="s">
        <v>99</v>
      </c>
      <c r="G337" s="11" t="n">
        <v>4</v>
      </c>
      <c r="H337" s="11" t="s">
        <v>100</v>
      </c>
      <c r="I337" s="11" t="s">
        <v>106</v>
      </c>
      <c r="J337" s="11" t="s">
        <v>91</v>
      </c>
      <c r="K337" s="10" t="s">
        <v>254</v>
      </c>
      <c r="L337" s="10" t="s">
        <v>1444</v>
      </c>
      <c r="M337" s="11" t="s">
        <v>94</v>
      </c>
    </row>
    <row r="338" customFormat="false" ht="23.85" hidden="false" customHeight="false" outlineLevel="0" collapsed="false">
      <c r="A338" s="10" t="s">
        <v>1462</v>
      </c>
      <c r="B338" s="10" t="s">
        <v>1440</v>
      </c>
      <c r="C338" s="10" t="s">
        <v>1463</v>
      </c>
      <c r="D338" s="10" t="s">
        <v>1464</v>
      </c>
      <c r="E338" s="10" t="s">
        <v>403</v>
      </c>
      <c r="F338" s="11" t="s">
        <v>99</v>
      </c>
      <c r="G338" s="11" t="n">
        <v>4</v>
      </c>
      <c r="H338" s="11" t="s">
        <v>100</v>
      </c>
      <c r="I338" s="11" t="s">
        <v>106</v>
      </c>
      <c r="J338" s="11" t="s">
        <v>91</v>
      </c>
      <c r="K338" s="10" t="s">
        <v>254</v>
      </c>
      <c r="L338" s="10" t="s">
        <v>1444</v>
      </c>
      <c r="M338" s="11" t="s">
        <v>94</v>
      </c>
    </row>
    <row r="339" customFormat="false" ht="23.85" hidden="false" customHeight="false" outlineLevel="0" collapsed="false">
      <c r="A339" s="10" t="s">
        <v>1465</v>
      </c>
      <c r="B339" s="10" t="s">
        <v>1440</v>
      </c>
      <c r="C339" s="10" t="s">
        <v>1466</v>
      </c>
      <c r="D339" s="10" t="s">
        <v>1467</v>
      </c>
      <c r="E339" s="10" t="s">
        <v>1468</v>
      </c>
      <c r="F339" s="11" t="s">
        <v>105</v>
      </c>
      <c r="G339" s="11" t="n">
        <v>5</v>
      </c>
      <c r="H339" s="11" t="s">
        <v>100</v>
      </c>
      <c r="I339" s="11" t="s">
        <v>106</v>
      </c>
      <c r="J339" s="11" t="s">
        <v>91</v>
      </c>
      <c r="K339" s="10" t="s">
        <v>254</v>
      </c>
      <c r="L339" s="10" t="s">
        <v>1444</v>
      </c>
      <c r="M339" s="11" t="s">
        <v>94</v>
      </c>
    </row>
    <row r="340" customFormat="false" ht="23.85" hidden="false" customHeight="false" outlineLevel="0" collapsed="false">
      <c r="A340" s="10" t="s">
        <v>1469</v>
      </c>
      <c r="B340" s="10" t="s">
        <v>1440</v>
      </c>
      <c r="C340" s="10" t="s">
        <v>1470</v>
      </c>
      <c r="D340" s="10" t="s">
        <v>1471</v>
      </c>
      <c r="E340" s="10" t="s">
        <v>253</v>
      </c>
      <c r="F340" s="11" t="s">
        <v>99</v>
      </c>
      <c r="G340" s="11" t="n">
        <v>3</v>
      </c>
      <c r="H340" s="11" t="s">
        <v>89</v>
      </c>
      <c r="I340" s="11" t="s">
        <v>106</v>
      </c>
      <c r="J340" s="11" t="s">
        <v>91</v>
      </c>
      <c r="K340" s="10" t="s">
        <v>1472</v>
      </c>
      <c r="L340" s="10" t="s">
        <v>1444</v>
      </c>
      <c r="M340" s="11" t="s">
        <v>94</v>
      </c>
    </row>
    <row r="341" customFormat="false" ht="23.85" hidden="false" customHeight="false" outlineLevel="0" collapsed="false">
      <c r="A341" s="10" t="s">
        <v>1473</v>
      </c>
      <c r="B341" s="10" t="s">
        <v>1440</v>
      </c>
      <c r="C341" s="10" t="s">
        <v>1474</v>
      </c>
      <c r="D341" s="10" t="s">
        <v>1475</v>
      </c>
      <c r="E341" s="10" t="s">
        <v>1461</v>
      </c>
      <c r="F341" s="11" t="s">
        <v>88</v>
      </c>
      <c r="G341" s="11" t="n">
        <v>4</v>
      </c>
      <c r="H341" s="11" t="s">
        <v>143</v>
      </c>
      <c r="I341" s="11" t="s">
        <v>106</v>
      </c>
      <c r="J341" s="11" t="s">
        <v>91</v>
      </c>
      <c r="K341" s="10" t="s">
        <v>1476</v>
      </c>
      <c r="L341" s="10" t="s">
        <v>1444</v>
      </c>
      <c r="M341" s="11" t="s">
        <v>94</v>
      </c>
    </row>
    <row r="342" customFormat="false" ht="23.85" hidden="false" customHeight="false" outlineLevel="0" collapsed="false">
      <c r="A342" s="10" t="s">
        <v>1477</v>
      </c>
      <c r="B342" s="10" t="s">
        <v>1440</v>
      </c>
      <c r="C342" s="10" t="s">
        <v>1478</v>
      </c>
      <c r="D342" s="10" t="s">
        <v>1479</v>
      </c>
      <c r="E342" s="10" t="s">
        <v>1480</v>
      </c>
      <c r="F342" s="11" t="s">
        <v>88</v>
      </c>
      <c r="G342" s="11" t="n">
        <v>3</v>
      </c>
      <c r="H342" s="11" t="s">
        <v>89</v>
      </c>
      <c r="I342" s="11" t="s">
        <v>106</v>
      </c>
      <c r="J342" s="11" t="s">
        <v>91</v>
      </c>
      <c r="K342" s="10" t="s">
        <v>145</v>
      </c>
      <c r="L342" s="10" t="s">
        <v>1444</v>
      </c>
      <c r="M342" s="11" t="s">
        <v>94</v>
      </c>
    </row>
    <row r="343" customFormat="false" ht="23.85" hidden="false" customHeight="false" outlineLevel="0" collapsed="false">
      <c r="A343" s="10" t="s">
        <v>1481</v>
      </c>
      <c r="B343" s="10" t="s">
        <v>1440</v>
      </c>
      <c r="C343" s="10" t="s">
        <v>1482</v>
      </c>
      <c r="D343" s="10" t="s">
        <v>1483</v>
      </c>
      <c r="E343" s="10" t="s">
        <v>1484</v>
      </c>
      <c r="F343" s="11" t="s">
        <v>88</v>
      </c>
      <c r="G343" s="11" t="n">
        <v>3</v>
      </c>
      <c r="H343" s="11" t="s">
        <v>100</v>
      </c>
      <c r="I343" s="11" t="s">
        <v>106</v>
      </c>
      <c r="J343" s="11" t="s">
        <v>91</v>
      </c>
      <c r="K343" s="10" t="s">
        <v>236</v>
      </c>
      <c r="L343" s="10" t="s">
        <v>1444</v>
      </c>
      <c r="M343" s="11" t="s">
        <v>94</v>
      </c>
    </row>
    <row r="344" customFormat="false" ht="23.85" hidden="false" customHeight="false" outlineLevel="0" collapsed="false">
      <c r="A344" s="10" t="s">
        <v>1485</v>
      </c>
      <c r="B344" s="10" t="s">
        <v>1440</v>
      </c>
      <c r="C344" s="10" t="s">
        <v>1486</v>
      </c>
      <c r="D344" s="10" t="s">
        <v>1487</v>
      </c>
      <c r="E344" s="10" t="s">
        <v>1488</v>
      </c>
      <c r="F344" s="11" t="s">
        <v>88</v>
      </c>
      <c r="G344" s="11" t="n">
        <v>3</v>
      </c>
      <c r="H344" s="11" t="s">
        <v>89</v>
      </c>
      <c r="I344" s="11" t="s">
        <v>106</v>
      </c>
      <c r="J344" s="11" t="s">
        <v>91</v>
      </c>
      <c r="K344" s="10" t="s">
        <v>145</v>
      </c>
      <c r="L344" s="10" t="s">
        <v>1444</v>
      </c>
      <c r="M344" s="11" t="s">
        <v>94</v>
      </c>
    </row>
    <row r="345" customFormat="false" ht="23.85" hidden="false" customHeight="false" outlineLevel="0" collapsed="false">
      <c r="A345" s="10" t="s">
        <v>1489</v>
      </c>
      <c r="B345" s="10" t="s">
        <v>1440</v>
      </c>
      <c r="C345" s="10" t="s">
        <v>1490</v>
      </c>
      <c r="D345" s="10" t="s">
        <v>1491</v>
      </c>
      <c r="E345" s="10" t="s">
        <v>1492</v>
      </c>
      <c r="F345" s="11" t="s">
        <v>88</v>
      </c>
      <c r="G345" s="11" t="n">
        <v>3</v>
      </c>
      <c r="H345" s="11" t="s">
        <v>89</v>
      </c>
      <c r="I345" s="11" t="s">
        <v>106</v>
      </c>
      <c r="J345" s="11" t="s">
        <v>91</v>
      </c>
      <c r="K345" s="10" t="s">
        <v>1493</v>
      </c>
      <c r="L345" s="10" t="s">
        <v>1444</v>
      </c>
      <c r="M345" s="11" t="s">
        <v>94</v>
      </c>
    </row>
    <row r="346" customFormat="false" ht="23.85" hidden="false" customHeight="false" outlineLevel="0" collapsed="false">
      <c r="A346" s="10" t="s">
        <v>1494</v>
      </c>
      <c r="B346" s="10" t="s">
        <v>1440</v>
      </c>
      <c r="C346" s="10" t="s">
        <v>1495</v>
      </c>
      <c r="D346" s="10" t="s">
        <v>1496</v>
      </c>
      <c r="E346" s="10" t="s">
        <v>1497</v>
      </c>
      <c r="F346" s="11" t="s">
        <v>88</v>
      </c>
      <c r="G346" s="11" t="n">
        <v>2</v>
      </c>
      <c r="H346" s="11" t="s">
        <v>89</v>
      </c>
      <c r="I346" s="11" t="s">
        <v>106</v>
      </c>
      <c r="J346" s="11" t="s">
        <v>91</v>
      </c>
      <c r="K346" s="10" t="s">
        <v>533</v>
      </c>
      <c r="L346" s="10" t="s">
        <v>1444</v>
      </c>
      <c r="M346" s="11" t="s">
        <v>94</v>
      </c>
    </row>
    <row r="347" customFormat="false" ht="23.85" hidden="false" customHeight="false" outlineLevel="0" collapsed="false">
      <c r="A347" s="10" t="s">
        <v>1498</v>
      </c>
      <c r="B347" s="10" t="s">
        <v>1440</v>
      </c>
      <c r="C347" s="10" t="s">
        <v>1499</v>
      </c>
      <c r="D347" s="10" t="s">
        <v>1500</v>
      </c>
      <c r="E347" s="10" t="s">
        <v>1501</v>
      </c>
      <c r="F347" s="11" t="s">
        <v>99</v>
      </c>
      <c r="G347" s="11" t="n">
        <v>2</v>
      </c>
      <c r="H347" s="11" t="s">
        <v>89</v>
      </c>
      <c r="I347" s="11" t="s">
        <v>106</v>
      </c>
      <c r="J347" s="11" t="s">
        <v>91</v>
      </c>
      <c r="K347" s="10" t="s">
        <v>533</v>
      </c>
      <c r="L347" s="10" t="s">
        <v>1444</v>
      </c>
      <c r="M347" s="11" t="s">
        <v>94</v>
      </c>
    </row>
    <row r="348" customFormat="false" ht="23.85" hidden="false" customHeight="false" outlineLevel="0" collapsed="false">
      <c r="A348" s="10" t="s">
        <v>1502</v>
      </c>
      <c r="B348" s="10" t="s">
        <v>1440</v>
      </c>
      <c r="C348" s="10" t="s">
        <v>1503</v>
      </c>
      <c r="D348" s="10" t="s">
        <v>1504</v>
      </c>
      <c r="E348" s="10" t="s">
        <v>1505</v>
      </c>
      <c r="F348" s="11" t="s">
        <v>99</v>
      </c>
      <c r="G348" s="11" t="n">
        <v>5</v>
      </c>
      <c r="H348" s="11" t="s">
        <v>89</v>
      </c>
      <c r="I348" s="11" t="s">
        <v>106</v>
      </c>
      <c r="J348" s="11" t="s">
        <v>91</v>
      </c>
      <c r="K348" s="10" t="s">
        <v>1506</v>
      </c>
      <c r="L348" s="10" t="s">
        <v>1444</v>
      </c>
      <c r="M348" s="11" t="s">
        <v>94</v>
      </c>
    </row>
    <row r="349" customFormat="false" ht="23.85" hidden="false" customHeight="false" outlineLevel="0" collapsed="false">
      <c r="A349" s="10" t="s">
        <v>1507</v>
      </c>
      <c r="B349" s="10" t="s">
        <v>1440</v>
      </c>
      <c r="C349" s="10" t="s">
        <v>1508</v>
      </c>
      <c r="D349" s="10" t="s">
        <v>1509</v>
      </c>
      <c r="E349" s="10" t="s">
        <v>765</v>
      </c>
      <c r="F349" s="11" t="s">
        <v>105</v>
      </c>
      <c r="G349" s="11" t="n">
        <v>5</v>
      </c>
      <c r="H349" s="11" t="s">
        <v>143</v>
      </c>
      <c r="I349" s="11" t="s">
        <v>144</v>
      </c>
      <c r="J349" s="11" t="s">
        <v>91</v>
      </c>
      <c r="K349" s="10" t="s">
        <v>1510</v>
      </c>
      <c r="L349" s="10" t="s">
        <v>1444</v>
      </c>
      <c r="M349" s="11" t="s">
        <v>94</v>
      </c>
    </row>
    <row r="350" customFormat="false" ht="23.85" hidden="false" customHeight="false" outlineLevel="0" collapsed="false">
      <c r="A350" s="10" t="s">
        <v>1511</v>
      </c>
      <c r="B350" s="10" t="s">
        <v>1440</v>
      </c>
      <c r="C350" s="10" t="s">
        <v>1512</v>
      </c>
      <c r="D350" s="10" t="s">
        <v>1513</v>
      </c>
      <c r="E350" s="10" t="s">
        <v>1514</v>
      </c>
      <c r="F350" s="11" t="s">
        <v>99</v>
      </c>
      <c r="G350" s="11" t="n">
        <v>3</v>
      </c>
      <c r="H350" s="11" t="s">
        <v>100</v>
      </c>
      <c r="I350" s="11" t="s">
        <v>144</v>
      </c>
      <c r="J350" s="11" t="s">
        <v>91</v>
      </c>
      <c r="K350" s="10" t="s">
        <v>600</v>
      </c>
      <c r="L350" s="10" t="s">
        <v>1444</v>
      </c>
      <c r="M350" s="11" t="s">
        <v>94</v>
      </c>
    </row>
    <row r="351" customFormat="false" ht="23.85" hidden="false" customHeight="false" outlineLevel="0" collapsed="false">
      <c r="A351" s="10" t="s">
        <v>1515</v>
      </c>
      <c r="B351" s="10" t="s">
        <v>1440</v>
      </c>
      <c r="C351" s="10" t="s">
        <v>1516</v>
      </c>
      <c r="D351" s="10" t="s">
        <v>1517</v>
      </c>
      <c r="E351" s="10" t="s">
        <v>403</v>
      </c>
      <c r="F351" s="11" t="s">
        <v>105</v>
      </c>
      <c r="G351" s="11" t="n">
        <v>3</v>
      </c>
      <c r="H351" s="11" t="s">
        <v>89</v>
      </c>
      <c r="I351" s="11" t="s">
        <v>144</v>
      </c>
      <c r="J351" s="11" t="s">
        <v>91</v>
      </c>
      <c r="K351" s="10" t="s">
        <v>254</v>
      </c>
      <c r="L351" s="10" t="s">
        <v>1444</v>
      </c>
      <c r="M351" s="11" t="s">
        <v>94</v>
      </c>
    </row>
    <row r="352" customFormat="false" ht="15" hidden="false" customHeight="false" outlineLevel="0" collapsed="false">
      <c r="A352" s="10" t="s">
        <v>1518</v>
      </c>
      <c r="B352" s="10" t="s">
        <v>1440</v>
      </c>
      <c r="C352" s="10" t="s">
        <v>1519</v>
      </c>
      <c r="D352" s="10" t="s">
        <v>1520</v>
      </c>
      <c r="E352" s="10" t="s">
        <v>403</v>
      </c>
      <c r="F352" s="11" t="s">
        <v>105</v>
      </c>
      <c r="G352" s="11" t="n">
        <v>3</v>
      </c>
      <c r="H352" s="11" t="s">
        <v>89</v>
      </c>
      <c r="I352" s="11" t="s">
        <v>144</v>
      </c>
      <c r="J352" s="11" t="s">
        <v>91</v>
      </c>
      <c r="K352" s="10" t="s">
        <v>374</v>
      </c>
      <c r="L352" s="10" t="s">
        <v>1521</v>
      </c>
      <c r="M352" s="11" t="s">
        <v>94</v>
      </c>
    </row>
    <row r="353" customFormat="false" ht="23.85" hidden="false" customHeight="false" outlineLevel="0" collapsed="false">
      <c r="A353" s="10" t="s">
        <v>1522</v>
      </c>
      <c r="B353" s="10" t="s">
        <v>1440</v>
      </c>
      <c r="C353" s="10" t="s">
        <v>1523</v>
      </c>
      <c r="D353" s="10" t="s">
        <v>1524</v>
      </c>
      <c r="E353" s="10" t="s">
        <v>403</v>
      </c>
      <c r="F353" s="11" t="s">
        <v>105</v>
      </c>
      <c r="G353" s="11" t="n">
        <v>2</v>
      </c>
      <c r="H353" s="11" t="s">
        <v>89</v>
      </c>
      <c r="I353" s="11" t="s">
        <v>172</v>
      </c>
      <c r="J353" s="11" t="s">
        <v>91</v>
      </c>
      <c r="K353" s="10" t="s">
        <v>135</v>
      </c>
      <c r="L353" s="10" t="s">
        <v>1444</v>
      </c>
      <c r="M353" s="11" t="s">
        <v>94</v>
      </c>
    </row>
    <row r="354" customFormat="false" ht="23.85" hidden="false" customHeight="false" outlineLevel="0" collapsed="false">
      <c r="A354" s="10" t="s">
        <v>1525</v>
      </c>
      <c r="B354" s="10" t="s">
        <v>1440</v>
      </c>
      <c r="C354" s="10" t="s">
        <v>1526</v>
      </c>
      <c r="D354" s="10" t="s">
        <v>1527</v>
      </c>
      <c r="E354" s="10" t="s">
        <v>154</v>
      </c>
      <c r="F354" s="11" t="s">
        <v>105</v>
      </c>
      <c r="G354" s="11" t="n">
        <v>2</v>
      </c>
      <c r="H354" s="11" t="s">
        <v>89</v>
      </c>
      <c r="I354" s="11" t="s">
        <v>172</v>
      </c>
      <c r="J354" s="11" t="s">
        <v>176</v>
      </c>
      <c r="K354" s="10" t="s">
        <v>177</v>
      </c>
      <c r="L354" s="10" t="s">
        <v>1444</v>
      </c>
      <c r="M354" s="11" t="s">
        <v>157</v>
      </c>
    </row>
    <row r="355" customFormat="false" ht="23.85" hidden="false" customHeight="false" outlineLevel="0" collapsed="false">
      <c r="A355" s="10" t="s">
        <v>1528</v>
      </c>
      <c r="B355" s="10" t="s">
        <v>1529</v>
      </c>
      <c r="C355" s="10" t="s">
        <v>1530</v>
      </c>
      <c r="D355" s="10" t="s">
        <v>1531</v>
      </c>
      <c r="E355" s="10" t="s">
        <v>1532</v>
      </c>
      <c r="F355" s="11" t="s">
        <v>99</v>
      </c>
      <c r="G355" s="11" t="n">
        <v>5</v>
      </c>
      <c r="H355" s="11" t="s">
        <v>100</v>
      </c>
      <c r="I355" s="11" t="s">
        <v>106</v>
      </c>
      <c r="J355" s="11" t="s">
        <v>91</v>
      </c>
      <c r="K355" s="10" t="s">
        <v>209</v>
      </c>
      <c r="L355" s="10" t="s">
        <v>1533</v>
      </c>
      <c r="M355" s="11" t="s">
        <v>94</v>
      </c>
    </row>
    <row r="356" customFormat="false" ht="23.85" hidden="false" customHeight="false" outlineLevel="0" collapsed="false">
      <c r="A356" s="10" t="s">
        <v>1534</v>
      </c>
      <c r="B356" s="10" t="s">
        <v>1529</v>
      </c>
      <c r="C356" s="10" t="s">
        <v>1535</v>
      </c>
      <c r="D356" s="10" t="s">
        <v>1536</v>
      </c>
      <c r="E356" s="10" t="s">
        <v>1537</v>
      </c>
      <c r="F356" s="11" t="s">
        <v>99</v>
      </c>
      <c r="G356" s="11" t="n">
        <v>5</v>
      </c>
      <c r="H356" s="11" t="s">
        <v>143</v>
      </c>
      <c r="I356" s="11" t="s">
        <v>106</v>
      </c>
      <c r="J356" s="11" t="s">
        <v>91</v>
      </c>
      <c r="K356" s="10" t="s">
        <v>1457</v>
      </c>
      <c r="L356" s="10" t="s">
        <v>1533</v>
      </c>
      <c r="M356" s="11" t="s">
        <v>94</v>
      </c>
    </row>
    <row r="357" customFormat="false" ht="23.85" hidden="false" customHeight="false" outlineLevel="0" collapsed="false">
      <c r="A357" s="10" t="s">
        <v>1538</v>
      </c>
      <c r="B357" s="10" t="s">
        <v>1529</v>
      </c>
      <c r="C357" s="10" t="s">
        <v>1539</v>
      </c>
      <c r="D357" s="10" t="s">
        <v>1540</v>
      </c>
      <c r="E357" s="10" t="s">
        <v>403</v>
      </c>
      <c r="F357" s="11" t="s">
        <v>105</v>
      </c>
      <c r="G357" s="11" t="n">
        <v>4</v>
      </c>
      <c r="H357" s="11" t="s">
        <v>143</v>
      </c>
      <c r="I357" s="11" t="s">
        <v>144</v>
      </c>
      <c r="J357" s="11" t="s">
        <v>91</v>
      </c>
      <c r="K357" s="10" t="s">
        <v>1457</v>
      </c>
      <c r="L357" s="10" t="s">
        <v>1533</v>
      </c>
      <c r="M357" s="11" t="s">
        <v>94</v>
      </c>
    </row>
    <row r="358" customFormat="false" ht="23.85" hidden="false" customHeight="false" outlineLevel="0" collapsed="false">
      <c r="A358" s="10" t="s">
        <v>1541</v>
      </c>
      <c r="B358" s="10" t="s">
        <v>1529</v>
      </c>
      <c r="C358" s="10" t="s">
        <v>1542</v>
      </c>
      <c r="D358" s="10" t="s">
        <v>1543</v>
      </c>
      <c r="E358" s="10" t="s">
        <v>1544</v>
      </c>
      <c r="F358" s="11" t="s">
        <v>99</v>
      </c>
      <c r="G358" s="11" t="n">
        <v>4</v>
      </c>
      <c r="H358" s="11" t="s">
        <v>89</v>
      </c>
      <c r="I358" s="11" t="s">
        <v>106</v>
      </c>
      <c r="J358" s="11" t="s">
        <v>91</v>
      </c>
      <c r="K358" s="10" t="s">
        <v>209</v>
      </c>
      <c r="L358" s="10" t="s">
        <v>1533</v>
      </c>
      <c r="M358" s="11" t="s">
        <v>94</v>
      </c>
    </row>
    <row r="359" customFormat="false" ht="23.85" hidden="false" customHeight="false" outlineLevel="0" collapsed="false">
      <c r="A359" s="10" t="s">
        <v>1545</v>
      </c>
      <c r="B359" s="10" t="s">
        <v>1529</v>
      </c>
      <c r="C359" s="10" t="s">
        <v>1546</v>
      </c>
      <c r="D359" s="10" t="s">
        <v>1547</v>
      </c>
      <c r="E359" s="10" t="s">
        <v>1548</v>
      </c>
      <c r="F359" s="11" t="s">
        <v>88</v>
      </c>
      <c r="G359" s="11" t="n">
        <v>3</v>
      </c>
      <c r="H359" s="11" t="s">
        <v>89</v>
      </c>
      <c r="I359" s="11" t="s">
        <v>106</v>
      </c>
      <c r="J359" s="11" t="s">
        <v>91</v>
      </c>
      <c r="K359" s="10" t="s">
        <v>145</v>
      </c>
      <c r="L359" s="10" t="s">
        <v>1533</v>
      </c>
      <c r="M359" s="11" t="s">
        <v>94</v>
      </c>
    </row>
    <row r="360" customFormat="false" ht="23.85" hidden="false" customHeight="false" outlineLevel="0" collapsed="false">
      <c r="A360" s="10" t="s">
        <v>1549</v>
      </c>
      <c r="B360" s="10" t="s">
        <v>1529</v>
      </c>
      <c r="C360" s="10" t="s">
        <v>1550</v>
      </c>
      <c r="D360" s="10" t="s">
        <v>1551</v>
      </c>
      <c r="E360" s="10" t="s">
        <v>1552</v>
      </c>
      <c r="F360" s="11" t="s">
        <v>99</v>
      </c>
      <c r="G360" s="11" t="n">
        <v>4</v>
      </c>
      <c r="H360" s="11" t="s">
        <v>143</v>
      </c>
      <c r="I360" s="11" t="s">
        <v>106</v>
      </c>
      <c r="J360" s="11" t="s">
        <v>91</v>
      </c>
      <c r="K360" s="10" t="s">
        <v>1553</v>
      </c>
      <c r="L360" s="10" t="s">
        <v>1533</v>
      </c>
      <c r="M360" s="11" t="s">
        <v>94</v>
      </c>
    </row>
    <row r="361" customFormat="false" ht="23.85" hidden="false" customHeight="false" outlineLevel="0" collapsed="false">
      <c r="A361" s="10" t="s">
        <v>1554</v>
      </c>
      <c r="B361" s="10" t="s">
        <v>1529</v>
      </c>
      <c r="C361" s="10" t="s">
        <v>1555</v>
      </c>
      <c r="D361" s="10" t="s">
        <v>1556</v>
      </c>
      <c r="E361" s="10" t="s">
        <v>403</v>
      </c>
      <c r="F361" s="11" t="s">
        <v>105</v>
      </c>
      <c r="G361" s="11" t="n">
        <v>4</v>
      </c>
      <c r="H361" s="11" t="s">
        <v>143</v>
      </c>
      <c r="I361" s="11" t="s">
        <v>144</v>
      </c>
      <c r="J361" s="11" t="s">
        <v>91</v>
      </c>
      <c r="K361" s="10" t="s">
        <v>1553</v>
      </c>
      <c r="L361" s="10" t="s">
        <v>1533</v>
      </c>
      <c r="M361" s="11" t="s">
        <v>94</v>
      </c>
    </row>
    <row r="362" customFormat="false" ht="23.85" hidden="false" customHeight="false" outlineLevel="0" collapsed="false">
      <c r="A362" s="10" t="s">
        <v>1557</v>
      </c>
      <c r="B362" s="10" t="s">
        <v>1529</v>
      </c>
      <c r="C362" s="10" t="s">
        <v>1558</v>
      </c>
      <c r="D362" s="10" t="s">
        <v>1559</v>
      </c>
      <c r="E362" s="10" t="s">
        <v>403</v>
      </c>
      <c r="F362" s="11" t="s">
        <v>105</v>
      </c>
      <c r="G362" s="11" t="n">
        <v>4</v>
      </c>
      <c r="H362" s="11" t="s">
        <v>89</v>
      </c>
      <c r="I362" s="11" t="s">
        <v>106</v>
      </c>
      <c r="J362" s="11" t="s">
        <v>91</v>
      </c>
      <c r="K362" s="10" t="s">
        <v>217</v>
      </c>
      <c r="L362" s="10" t="s">
        <v>1560</v>
      </c>
      <c r="M362" s="11" t="s">
        <v>94</v>
      </c>
    </row>
    <row r="363" customFormat="false" ht="23.85" hidden="false" customHeight="false" outlineLevel="0" collapsed="false">
      <c r="A363" s="10" t="s">
        <v>1561</v>
      </c>
      <c r="B363" s="10" t="s">
        <v>1529</v>
      </c>
      <c r="C363" s="10" t="s">
        <v>1562</v>
      </c>
      <c r="D363" s="10" t="s">
        <v>1563</v>
      </c>
      <c r="E363" s="10" t="s">
        <v>403</v>
      </c>
      <c r="F363" s="11" t="s">
        <v>105</v>
      </c>
      <c r="G363" s="11" t="n">
        <v>4</v>
      </c>
      <c r="H363" s="11" t="s">
        <v>100</v>
      </c>
      <c r="I363" s="11" t="s">
        <v>144</v>
      </c>
      <c r="J363" s="11" t="s">
        <v>91</v>
      </c>
      <c r="K363" s="10" t="s">
        <v>150</v>
      </c>
      <c r="L363" s="10" t="s">
        <v>1533</v>
      </c>
      <c r="M363" s="11" t="s">
        <v>94</v>
      </c>
    </row>
    <row r="364" customFormat="false" ht="23.85" hidden="false" customHeight="false" outlineLevel="0" collapsed="false">
      <c r="A364" s="10" t="s">
        <v>1564</v>
      </c>
      <c r="B364" s="10" t="s">
        <v>1529</v>
      </c>
      <c r="C364" s="10" t="s">
        <v>1565</v>
      </c>
      <c r="D364" s="10" t="s">
        <v>1566</v>
      </c>
      <c r="E364" s="10" t="s">
        <v>403</v>
      </c>
      <c r="F364" s="11" t="s">
        <v>105</v>
      </c>
      <c r="G364" s="11" t="n">
        <v>2</v>
      </c>
      <c r="H364" s="11" t="s">
        <v>100</v>
      </c>
      <c r="I364" s="11" t="s">
        <v>144</v>
      </c>
      <c r="J364" s="11" t="s">
        <v>91</v>
      </c>
      <c r="K364" s="10" t="s">
        <v>145</v>
      </c>
      <c r="L364" s="10" t="s">
        <v>1533</v>
      </c>
      <c r="M364" s="11" t="s">
        <v>94</v>
      </c>
    </row>
    <row r="365" customFormat="false" ht="23.85" hidden="false" customHeight="false" outlineLevel="0" collapsed="false">
      <c r="A365" s="10" t="s">
        <v>1567</v>
      </c>
      <c r="B365" s="10" t="s">
        <v>1529</v>
      </c>
      <c r="C365" s="10" t="s">
        <v>1568</v>
      </c>
      <c r="D365" s="10" t="s">
        <v>1569</v>
      </c>
      <c r="E365" s="10" t="s">
        <v>403</v>
      </c>
      <c r="F365" s="11" t="s">
        <v>105</v>
      </c>
      <c r="G365" s="11" t="n">
        <v>3</v>
      </c>
      <c r="H365" s="11" t="s">
        <v>89</v>
      </c>
      <c r="I365" s="11" t="s">
        <v>144</v>
      </c>
      <c r="J365" s="11" t="s">
        <v>91</v>
      </c>
      <c r="K365" s="10" t="s">
        <v>213</v>
      </c>
      <c r="L365" s="10" t="s">
        <v>1533</v>
      </c>
      <c r="M365" s="11" t="s">
        <v>94</v>
      </c>
    </row>
    <row r="366" customFormat="false" ht="23.85" hidden="false" customHeight="false" outlineLevel="0" collapsed="false">
      <c r="A366" s="10" t="s">
        <v>1570</v>
      </c>
      <c r="B366" s="10" t="s">
        <v>1529</v>
      </c>
      <c r="C366" s="10" t="s">
        <v>1571</v>
      </c>
      <c r="D366" s="10" t="s">
        <v>1572</v>
      </c>
      <c r="E366" s="10" t="s">
        <v>1573</v>
      </c>
      <c r="F366" s="11" t="s">
        <v>99</v>
      </c>
      <c r="G366" s="11" t="n">
        <v>2</v>
      </c>
      <c r="H366" s="11" t="s">
        <v>100</v>
      </c>
      <c r="I366" s="11" t="s">
        <v>144</v>
      </c>
      <c r="J366" s="11" t="s">
        <v>91</v>
      </c>
      <c r="K366" s="10" t="s">
        <v>540</v>
      </c>
      <c r="L366" s="10" t="s">
        <v>1574</v>
      </c>
      <c r="M366" s="11" t="s">
        <v>94</v>
      </c>
    </row>
    <row r="367" customFormat="false" ht="23.85" hidden="false" customHeight="false" outlineLevel="0" collapsed="false">
      <c r="A367" s="10" t="s">
        <v>1575</v>
      </c>
      <c r="B367" s="10" t="s">
        <v>1529</v>
      </c>
      <c r="C367" s="10" t="s">
        <v>1576</v>
      </c>
      <c r="D367" s="10" t="s">
        <v>1577</v>
      </c>
      <c r="E367" s="10" t="s">
        <v>154</v>
      </c>
      <c r="F367" s="11" t="s">
        <v>105</v>
      </c>
      <c r="G367" s="11" t="n">
        <v>2</v>
      </c>
      <c r="H367" s="11" t="s">
        <v>89</v>
      </c>
      <c r="I367" s="11" t="s">
        <v>144</v>
      </c>
      <c r="J367" s="11" t="s">
        <v>805</v>
      </c>
      <c r="K367" s="10" t="s">
        <v>177</v>
      </c>
      <c r="L367" s="10" t="s">
        <v>1533</v>
      </c>
      <c r="M367" s="11" t="s">
        <v>157</v>
      </c>
    </row>
    <row r="368" customFormat="false" ht="23.85" hidden="false" customHeight="false" outlineLevel="0" collapsed="false">
      <c r="A368" s="10" t="s">
        <v>1578</v>
      </c>
      <c r="B368" s="10" t="s">
        <v>1579</v>
      </c>
      <c r="C368" s="10" t="s">
        <v>1580</v>
      </c>
      <c r="D368" s="10" t="s">
        <v>1581</v>
      </c>
      <c r="E368" s="10" t="s">
        <v>1582</v>
      </c>
      <c r="F368" s="11" t="s">
        <v>99</v>
      </c>
      <c r="G368" s="11" t="n">
        <v>4</v>
      </c>
      <c r="H368" s="11" t="s">
        <v>143</v>
      </c>
      <c r="I368" s="11" t="s">
        <v>106</v>
      </c>
      <c r="J368" s="11" t="s">
        <v>91</v>
      </c>
      <c r="K368" s="10" t="s">
        <v>1476</v>
      </c>
      <c r="L368" s="10" t="s">
        <v>1583</v>
      </c>
      <c r="M368" s="11" t="s">
        <v>157</v>
      </c>
    </row>
    <row r="369" customFormat="false" ht="23.85" hidden="false" customHeight="false" outlineLevel="0" collapsed="false">
      <c r="A369" s="10" t="s">
        <v>1584</v>
      </c>
      <c r="B369" s="10" t="s">
        <v>1579</v>
      </c>
      <c r="C369" s="10" t="s">
        <v>1585</v>
      </c>
      <c r="D369" s="10" t="s">
        <v>1586</v>
      </c>
      <c r="E369" s="10" t="s">
        <v>1587</v>
      </c>
      <c r="F369" s="11" t="s">
        <v>99</v>
      </c>
      <c r="G369" s="11" t="n">
        <v>3</v>
      </c>
      <c r="H369" s="11" t="s">
        <v>100</v>
      </c>
      <c r="I369" s="11" t="s">
        <v>144</v>
      </c>
      <c r="J369" s="11" t="s">
        <v>91</v>
      </c>
      <c r="K369" s="10" t="s">
        <v>305</v>
      </c>
      <c r="L369" s="10" t="s">
        <v>1583</v>
      </c>
      <c r="M369" s="11" t="s">
        <v>157</v>
      </c>
    </row>
    <row r="370" customFormat="false" ht="23.85" hidden="false" customHeight="false" outlineLevel="0" collapsed="false">
      <c r="A370" s="10" t="s">
        <v>1588</v>
      </c>
      <c r="B370" s="10" t="s">
        <v>1579</v>
      </c>
      <c r="C370" s="10" t="s">
        <v>1589</v>
      </c>
      <c r="D370" s="10" t="s">
        <v>1590</v>
      </c>
      <c r="E370" s="10" t="s">
        <v>1591</v>
      </c>
      <c r="F370" s="11" t="s">
        <v>99</v>
      </c>
      <c r="G370" s="11" t="n">
        <v>5</v>
      </c>
      <c r="H370" s="11" t="s">
        <v>100</v>
      </c>
      <c r="I370" s="11" t="s">
        <v>106</v>
      </c>
      <c r="J370" s="11" t="s">
        <v>91</v>
      </c>
      <c r="K370" s="10" t="s">
        <v>1592</v>
      </c>
      <c r="L370" s="10" t="s">
        <v>1593</v>
      </c>
      <c r="M370" s="11" t="s">
        <v>157</v>
      </c>
    </row>
    <row r="371" customFormat="false" ht="23.85" hidden="false" customHeight="false" outlineLevel="0" collapsed="false">
      <c r="A371" s="10" t="s">
        <v>1594</v>
      </c>
      <c r="B371" s="10" t="s">
        <v>1579</v>
      </c>
      <c r="C371" s="10" t="s">
        <v>1595</v>
      </c>
      <c r="D371" s="10" t="s">
        <v>1596</v>
      </c>
      <c r="E371" s="10" t="s">
        <v>1597</v>
      </c>
      <c r="F371" s="11" t="s">
        <v>99</v>
      </c>
      <c r="G371" s="11" t="n">
        <v>3</v>
      </c>
      <c r="H371" s="11" t="s">
        <v>100</v>
      </c>
      <c r="I371" s="11" t="s">
        <v>144</v>
      </c>
      <c r="J371" s="11" t="s">
        <v>91</v>
      </c>
      <c r="K371" s="10" t="s">
        <v>221</v>
      </c>
      <c r="L371" s="10" t="s">
        <v>1583</v>
      </c>
      <c r="M371" s="11" t="s">
        <v>157</v>
      </c>
    </row>
    <row r="372" customFormat="false" ht="23.85" hidden="false" customHeight="false" outlineLevel="0" collapsed="false">
      <c r="A372" s="10" t="s">
        <v>1598</v>
      </c>
      <c r="B372" s="10" t="s">
        <v>1579</v>
      </c>
      <c r="C372" s="10" t="s">
        <v>1599</v>
      </c>
      <c r="D372" s="10" t="s">
        <v>1600</v>
      </c>
      <c r="E372" s="10" t="s">
        <v>1601</v>
      </c>
      <c r="F372" s="11" t="s">
        <v>99</v>
      </c>
      <c r="G372" s="11" t="n">
        <v>4</v>
      </c>
      <c r="H372" s="11" t="s">
        <v>89</v>
      </c>
      <c r="I372" s="11" t="s">
        <v>106</v>
      </c>
      <c r="J372" s="11" t="s">
        <v>91</v>
      </c>
      <c r="K372" s="10" t="s">
        <v>540</v>
      </c>
      <c r="L372" s="10" t="s">
        <v>1583</v>
      </c>
      <c r="M372" s="11" t="s">
        <v>157</v>
      </c>
    </row>
    <row r="373" customFormat="false" ht="23.85" hidden="false" customHeight="false" outlineLevel="0" collapsed="false">
      <c r="A373" s="10" t="s">
        <v>1602</v>
      </c>
      <c r="B373" s="10" t="s">
        <v>1579</v>
      </c>
      <c r="C373" s="10" t="s">
        <v>1603</v>
      </c>
      <c r="D373" s="10" t="s">
        <v>1604</v>
      </c>
      <c r="E373" s="10" t="s">
        <v>403</v>
      </c>
      <c r="F373" s="11" t="s">
        <v>105</v>
      </c>
      <c r="G373" s="11" t="n">
        <v>2</v>
      </c>
      <c r="H373" s="11" t="s">
        <v>89</v>
      </c>
      <c r="I373" s="11" t="s">
        <v>144</v>
      </c>
      <c r="J373" s="11" t="s">
        <v>91</v>
      </c>
      <c r="K373" s="10" t="s">
        <v>217</v>
      </c>
      <c r="L373" s="10" t="s">
        <v>1605</v>
      </c>
      <c r="M373" s="11" t="s">
        <v>157</v>
      </c>
    </row>
    <row r="374" customFormat="false" ht="23.85" hidden="false" customHeight="false" outlineLevel="0" collapsed="false">
      <c r="A374" s="10" t="s">
        <v>1606</v>
      </c>
      <c r="B374" s="10" t="s">
        <v>1579</v>
      </c>
      <c r="C374" s="10" t="s">
        <v>1607</v>
      </c>
      <c r="D374" s="10" t="s">
        <v>1608</v>
      </c>
      <c r="E374" s="10" t="s">
        <v>1609</v>
      </c>
      <c r="F374" s="11" t="s">
        <v>105</v>
      </c>
      <c r="G374" s="11" t="n">
        <v>5</v>
      </c>
      <c r="H374" s="11" t="s">
        <v>143</v>
      </c>
      <c r="I374" s="11" t="s">
        <v>106</v>
      </c>
      <c r="J374" s="11" t="s">
        <v>91</v>
      </c>
      <c r="K374" s="10" t="s">
        <v>1610</v>
      </c>
      <c r="L374" s="10" t="s">
        <v>1583</v>
      </c>
      <c r="M374" s="11" t="s">
        <v>157</v>
      </c>
    </row>
    <row r="375" customFormat="false" ht="23.85" hidden="false" customHeight="false" outlineLevel="0" collapsed="false">
      <c r="A375" s="10" t="s">
        <v>1611</v>
      </c>
      <c r="B375" s="10" t="s">
        <v>1579</v>
      </c>
      <c r="C375" s="10" t="s">
        <v>1612</v>
      </c>
      <c r="D375" s="10" t="s">
        <v>1613</v>
      </c>
      <c r="E375" s="10" t="s">
        <v>1609</v>
      </c>
      <c r="F375" s="11" t="s">
        <v>105</v>
      </c>
      <c r="G375" s="11" t="n">
        <v>5</v>
      </c>
      <c r="H375" s="11" t="s">
        <v>143</v>
      </c>
      <c r="I375" s="11" t="s">
        <v>144</v>
      </c>
      <c r="J375" s="11" t="s">
        <v>91</v>
      </c>
      <c r="K375" s="10" t="s">
        <v>221</v>
      </c>
      <c r="L375" s="10" t="s">
        <v>1583</v>
      </c>
      <c r="M375" s="11" t="s">
        <v>157</v>
      </c>
    </row>
    <row r="376" customFormat="false" ht="23.85" hidden="false" customHeight="false" outlineLevel="0" collapsed="false">
      <c r="A376" s="10" t="s">
        <v>1614</v>
      </c>
      <c r="B376" s="10" t="s">
        <v>1579</v>
      </c>
      <c r="C376" s="10" t="s">
        <v>1615</v>
      </c>
      <c r="D376" s="10" t="s">
        <v>1616</v>
      </c>
      <c r="E376" s="10" t="s">
        <v>403</v>
      </c>
      <c r="F376" s="11" t="s">
        <v>105</v>
      </c>
      <c r="G376" s="11" t="n">
        <v>4</v>
      </c>
      <c r="H376" s="11" t="s">
        <v>100</v>
      </c>
      <c r="I376" s="11" t="s">
        <v>144</v>
      </c>
      <c r="J376" s="11" t="s">
        <v>91</v>
      </c>
      <c r="K376" s="10" t="s">
        <v>217</v>
      </c>
      <c r="L376" s="10" t="s">
        <v>1583</v>
      </c>
      <c r="M376" s="11" t="s">
        <v>157</v>
      </c>
    </row>
    <row r="377" customFormat="false" ht="23.85" hidden="false" customHeight="false" outlineLevel="0" collapsed="false">
      <c r="A377" s="10" t="s">
        <v>1617</v>
      </c>
      <c r="B377" s="10" t="s">
        <v>1579</v>
      </c>
      <c r="C377" s="10" t="s">
        <v>1618</v>
      </c>
      <c r="D377" s="10" t="s">
        <v>1619</v>
      </c>
      <c r="E377" s="10" t="s">
        <v>403</v>
      </c>
      <c r="F377" s="11" t="s">
        <v>105</v>
      </c>
      <c r="G377" s="11" t="n">
        <v>3</v>
      </c>
      <c r="H377" s="11" t="s">
        <v>100</v>
      </c>
      <c r="I377" s="11" t="s">
        <v>144</v>
      </c>
      <c r="J377" s="11" t="s">
        <v>91</v>
      </c>
      <c r="K377" s="10" t="s">
        <v>213</v>
      </c>
      <c r="L377" s="10" t="s">
        <v>1583</v>
      </c>
      <c r="M377" s="11" t="s">
        <v>157</v>
      </c>
    </row>
    <row r="378" customFormat="false" ht="23.85" hidden="false" customHeight="false" outlineLevel="0" collapsed="false">
      <c r="A378" s="10" t="s">
        <v>1620</v>
      </c>
      <c r="B378" s="10" t="s">
        <v>1579</v>
      </c>
      <c r="C378" s="10" t="s">
        <v>1621</v>
      </c>
      <c r="D378" s="10" t="s">
        <v>1622</v>
      </c>
      <c r="E378" s="10" t="s">
        <v>403</v>
      </c>
      <c r="F378" s="11" t="s">
        <v>105</v>
      </c>
      <c r="G378" s="11" t="n">
        <v>3</v>
      </c>
      <c r="H378" s="11" t="s">
        <v>100</v>
      </c>
      <c r="I378" s="11" t="s">
        <v>106</v>
      </c>
      <c r="J378" s="11" t="s">
        <v>91</v>
      </c>
      <c r="K378" s="10" t="s">
        <v>1476</v>
      </c>
      <c r="L378" s="10" t="s">
        <v>1583</v>
      </c>
      <c r="M378" s="11" t="s">
        <v>157</v>
      </c>
    </row>
    <row r="379" customFormat="false" ht="23.85" hidden="false" customHeight="false" outlineLevel="0" collapsed="false">
      <c r="A379" s="10" t="s">
        <v>1623</v>
      </c>
      <c r="B379" s="10" t="s">
        <v>1579</v>
      </c>
      <c r="C379" s="10" t="s">
        <v>1624</v>
      </c>
      <c r="D379" s="10" t="s">
        <v>1625</v>
      </c>
      <c r="E379" s="10" t="s">
        <v>403</v>
      </c>
      <c r="F379" s="11" t="s">
        <v>105</v>
      </c>
      <c r="G379" s="11" t="n">
        <v>3</v>
      </c>
      <c r="H379" s="11" t="s">
        <v>100</v>
      </c>
      <c r="I379" s="11" t="s">
        <v>144</v>
      </c>
      <c r="J379" s="11" t="s">
        <v>91</v>
      </c>
      <c r="K379" s="10" t="s">
        <v>1626</v>
      </c>
      <c r="L379" s="10" t="s">
        <v>1583</v>
      </c>
      <c r="M379" s="11" t="s">
        <v>157</v>
      </c>
    </row>
    <row r="380" customFormat="false" ht="23.85" hidden="false" customHeight="false" outlineLevel="0" collapsed="false">
      <c r="A380" s="10" t="s">
        <v>1627</v>
      </c>
      <c r="B380" s="10" t="s">
        <v>1579</v>
      </c>
      <c r="C380" s="10" t="s">
        <v>1628</v>
      </c>
      <c r="D380" s="10" t="s">
        <v>1629</v>
      </c>
      <c r="E380" s="10" t="s">
        <v>403</v>
      </c>
      <c r="F380" s="11" t="s">
        <v>105</v>
      </c>
      <c r="G380" s="11" t="n">
        <v>3</v>
      </c>
      <c r="H380" s="11" t="s">
        <v>100</v>
      </c>
      <c r="I380" s="11" t="s">
        <v>172</v>
      </c>
      <c r="J380" s="11" t="s">
        <v>91</v>
      </c>
      <c r="K380" s="10" t="s">
        <v>135</v>
      </c>
      <c r="L380" s="10" t="s">
        <v>1583</v>
      </c>
      <c r="M380" s="11" t="s">
        <v>157</v>
      </c>
    </row>
    <row r="381" customFormat="false" ht="23.85" hidden="false" customHeight="false" outlineLevel="0" collapsed="false">
      <c r="A381" s="10" t="s">
        <v>1630</v>
      </c>
      <c r="B381" s="10" t="s">
        <v>1579</v>
      </c>
      <c r="C381" s="10" t="s">
        <v>1631</v>
      </c>
      <c r="D381" s="10" t="s">
        <v>1632</v>
      </c>
      <c r="E381" s="10" t="s">
        <v>154</v>
      </c>
      <c r="F381" s="11" t="s">
        <v>105</v>
      </c>
      <c r="G381" s="11" t="n">
        <v>2</v>
      </c>
      <c r="H381" s="11" t="s">
        <v>89</v>
      </c>
      <c r="I381" s="11" t="s">
        <v>144</v>
      </c>
      <c r="J381" s="11" t="s">
        <v>805</v>
      </c>
      <c r="K381" s="10" t="s">
        <v>177</v>
      </c>
      <c r="L381" s="10" t="s">
        <v>1583</v>
      </c>
      <c r="M381" s="11" t="s">
        <v>157</v>
      </c>
    </row>
    <row r="382" customFormat="false" ht="23.85" hidden="false" customHeight="false" outlineLevel="0" collapsed="false">
      <c r="A382" s="10" t="s">
        <v>1633</v>
      </c>
      <c r="B382" s="10" t="s">
        <v>1579</v>
      </c>
      <c r="C382" s="10" t="s">
        <v>1634</v>
      </c>
      <c r="D382" s="10" t="s">
        <v>1635</v>
      </c>
      <c r="E382" s="10" t="s">
        <v>1636</v>
      </c>
      <c r="F382" s="11" t="s">
        <v>99</v>
      </c>
      <c r="G382" s="11" t="n">
        <v>1</v>
      </c>
      <c r="H382" s="11" t="s">
        <v>89</v>
      </c>
      <c r="I382" s="11" t="s">
        <v>144</v>
      </c>
      <c r="J382" s="11" t="s">
        <v>176</v>
      </c>
      <c r="K382" s="10" t="s">
        <v>177</v>
      </c>
      <c r="L382" s="10" t="s">
        <v>1583</v>
      </c>
      <c r="M382" s="11" t="s">
        <v>157</v>
      </c>
    </row>
    <row r="383" customFormat="false" ht="23.85" hidden="false" customHeight="false" outlineLevel="0" collapsed="false">
      <c r="A383" s="10" t="s">
        <v>1637</v>
      </c>
      <c r="B383" s="10" t="s">
        <v>1638</v>
      </c>
      <c r="C383" s="10" t="s">
        <v>1639</v>
      </c>
      <c r="D383" s="10" t="s">
        <v>1640</v>
      </c>
      <c r="E383" s="10" t="s">
        <v>1641</v>
      </c>
      <c r="F383" s="11" t="s">
        <v>99</v>
      </c>
      <c r="G383" s="11" t="n">
        <v>5</v>
      </c>
      <c r="H383" s="11" t="s">
        <v>143</v>
      </c>
      <c r="I383" s="11" t="s">
        <v>106</v>
      </c>
      <c r="J383" s="11" t="s">
        <v>91</v>
      </c>
      <c r="K383" s="10" t="s">
        <v>1642</v>
      </c>
      <c r="L383" s="10" t="s">
        <v>1643</v>
      </c>
      <c r="M383" s="11" t="s">
        <v>94</v>
      </c>
    </row>
    <row r="384" customFormat="false" ht="23.85" hidden="false" customHeight="false" outlineLevel="0" collapsed="false">
      <c r="A384" s="10" t="s">
        <v>1644</v>
      </c>
      <c r="B384" s="10" t="s">
        <v>1638</v>
      </c>
      <c r="C384" s="10" t="s">
        <v>1645</v>
      </c>
      <c r="D384" s="10" t="s">
        <v>1646</v>
      </c>
      <c r="E384" s="10" t="s">
        <v>403</v>
      </c>
      <c r="F384" s="11" t="s">
        <v>105</v>
      </c>
      <c r="G384" s="11" t="n">
        <v>4</v>
      </c>
      <c r="H384" s="11" t="s">
        <v>100</v>
      </c>
      <c r="I384" s="11" t="s">
        <v>106</v>
      </c>
      <c r="J384" s="11" t="s">
        <v>91</v>
      </c>
      <c r="K384" s="10" t="s">
        <v>1647</v>
      </c>
      <c r="L384" s="10" t="s">
        <v>1643</v>
      </c>
      <c r="M384" s="11" t="s">
        <v>94</v>
      </c>
    </row>
    <row r="385" customFormat="false" ht="23.85" hidden="false" customHeight="false" outlineLevel="0" collapsed="false">
      <c r="A385" s="10" t="s">
        <v>1648</v>
      </c>
      <c r="B385" s="10" t="s">
        <v>1638</v>
      </c>
      <c r="C385" s="10" t="s">
        <v>1649</v>
      </c>
      <c r="D385" s="10" t="s">
        <v>1650</v>
      </c>
      <c r="E385" s="10" t="s">
        <v>403</v>
      </c>
      <c r="F385" s="11" t="s">
        <v>105</v>
      </c>
      <c r="G385" s="11" t="n">
        <v>3</v>
      </c>
      <c r="H385" s="11" t="s">
        <v>89</v>
      </c>
      <c r="I385" s="11" t="s">
        <v>106</v>
      </c>
      <c r="J385" s="11" t="s">
        <v>91</v>
      </c>
      <c r="K385" s="10" t="s">
        <v>135</v>
      </c>
      <c r="L385" s="10" t="s">
        <v>1643</v>
      </c>
      <c r="M385" s="11" t="s">
        <v>94</v>
      </c>
    </row>
    <row r="386" customFormat="false" ht="23.85" hidden="false" customHeight="false" outlineLevel="0" collapsed="false">
      <c r="A386" s="10" t="s">
        <v>1651</v>
      </c>
      <c r="B386" s="10" t="s">
        <v>1638</v>
      </c>
      <c r="C386" s="10" t="s">
        <v>1652</v>
      </c>
      <c r="D386" s="10" t="s">
        <v>1653</v>
      </c>
      <c r="E386" s="10" t="s">
        <v>1654</v>
      </c>
      <c r="F386" s="11" t="s">
        <v>99</v>
      </c>
      <c r="G386" s="11" t="n">
        <v>4</v>
      </c>
      <c r="H386" s="11" t="s">
        <v>100</v>
      </c>
      <c r="I386" s="11" t="s">
        <v>106</v>
      </c>
      <c r="J386" s="11" t="s">
        <v>91</v>
      </c>
      <c r="K386" s="10" t="s">
        <v>1647</v>
      </c>
      <c r="L386" s="10" t="s">
        <v>1655</v>
      </c>
      <c r="M386" s="11" t="s">
        <v>94</v>
      </c>
    </row>
    <row r="387" customFormat="false" ht="23.85" hidden="false" customHeight="false" outlineLevel="0" collapsed="false">
      <c r="A387" s="10" t="s">
        <v>1656</v>
      </c>
      <c r="B387" s="10" t="s">
        <v>1638</v>
      </c>
      <c r="C387" s="10" t="s">
        <v>1657</v>
      </c>
      <c r="D387" s="10" t="s">
        <v>1658</v>
      </c>
      <c r="E387" s="10" t="s">
        <v>1659</v>
      </c>
      <c r="F387" s="11" t="s">
        <v>99</v>
      </c>
      <c r="G387" s="11" t="n">
        <v>3</v>
      </c>
      <c r="H387" s="11" t="s">
        <v>89</v>
      </c>
      <c r="I387" s="11" t="s">
        <v>106</v>
      </c>
      <c r="J387" s="11" t="s">
        <v>91</v>
      </c>
      <c r="K387" s="10" t="s">
        <v>221</v>
      </c>
      <c r="L387" s="10" t="s">
        <v>1643</v>
      </c>
      <c r="M387" s="11" t="s">
        <v>157</v>
      </c>
    </row>
    <row r="388" customFormat="false" ht="23.85" hidden="false" customHeight="false" outlineLevel="0" collapsed="false">
      <c r="A388" s="10" t="s">
        <v>1660</v>
      </c>
      <c r="B388" s="10" t="s">
        <v>1638</v>
      </c>
      <c r="C388" s="10" t="s">
        <v>1661</v>
      </c>
      <c r="D388" s="10" t="s">
        <v>1662</v>
      </c>
      <c r="E388" s="10" t="s">
        <v>1663</v>
      </c>
      <c r="F388" s="11" t="s">
        <v>105</v>
      </c>
      <c r="G388" s="11" t="n">
        <v>4</v>
      </c>
      <c r="H388" s="11" t="s">
        <v>100</v>
      </c>
      <c r="I388" s="11" t="s">
        <v>144</v>
      </c>
      <c r="J388" s="11" t="s">
        <v>91</v>
      </c>
      <c r="K388" s="10" t="s">
        <v>300</v>
      </c>
      <c r="L388" s="10" t="s">
        <v>1643</v>
      </c>
      <c r="M388" s="11" t="s">
        <v>157</v>
      </c>
    </row>
    <row r="389" customFormat="false" ht="23.85" hidden="false" customHeight="false" outlineLevel="0" collapsed="false">
      <c r="A389" s="10" t="s">
        <v>1664</v>
      </c>
      <c r="B389" s="10" t="s">
        <v>1638</v>
      </c>
      <c r="C389" s="10" t="s">
        <v>1665</v>
      </c>
      <c r="D389" s="10" t="s">
        <v>1666</v>
      </c>
      <c r="E389" s="10" t="s">
        <v>1667</v>
      </c>
      <c r="F389" s="11" t="s">
        <v>99</v>
      </c>
      <c r="G389" s="11" t="n">
        <v>4</v>
      </c>
      <c r="H389" s="11" t="s">
        <v>143</v>
      </c>
      <c r="I389" s="11" t="s">
        <v>144</v>
      </c>
      <c r="J389" s="11" t="s">
        <v>91</v>
      </c>
      <c r="K389" s="10" t="s">
        <v>1668</v>
      </c>
      <c r="L389" s="10" t="s">
        <v>1643</v>
      </c>
      <c r="M389" s="11" t="s">
        <v>157</v>
      </c>
    </row>
    <row r="390" customFormat="false" ht="23.85" hidden="false" customHeight="false" outlineLevel="0" collapsed="false">
      <c r="A390" s="10" t="s">
        <v>1669</v>
      </c>
      <c r="B390" s="10" t="s">
        <v>1638</v>
      </c>
      <c r="C390" s="10" t="s">
        <v>1670</v>
      </c>
      <c r="D390" s="10" t="s">
        <v>1671</v>
      </c>
      <c r="E390" s="10" t="s">
        <v>403</v>
      </c>
      <c r="F390" s="11" t="s">
        <v>105</v>
      </c>
      <c r="G390" s="11" t="n">
        <v>3</v>
      </c>
      <c r="H390" s="11" t="s">
        <v>100</v>
      </c>
      <c r="I390" s="11" t="s">
        <v>144</v>
      </c>
      <c r="J390" s="11" t="s">
        <v>91</v>
      </c>
      <c r="K390" s="10" t="s">
        <v>1626</v>
      </c>
      <c r="L390" s="10" t="s">
        <v>1643</v>
      </c>
      <c r="M390" s="11" t="s">
        <v>157</v>
      </c>
    </row>
    <row r="391" customFormat="false" ht="23.85" hidden="false" customHeight="false" outlineLevel="0" collapsed="false">
      <c r="A391" s="10" t="s">
        <v>1672</v>
      </c>
      <c r="B391" s="10" t="s">
        <v>1638</v>
      </c>
      <c r="C391" s="10" t="s">
        <v>1673</v>
      </c>
      <c r="D391" s="10" t="s">
        <v>1674</v>
      </c>
      <c r="E391" s="10" t="s">
        <v>403</v>
      </c>
      <c r="F391" s="11" t="s">
        <v>105</v>
      </c>
      <c r="G391" s="11" t="n">
        <v>3</v>
      </c>
      <c r="H391" s="11" t="s">
        <v>100</v>
      </c>
      <c r="I391" s="11" t="s">
        <v>172</v>
      </c>
      <c r="J391" s="11" t="s">
        <v>91</v>
      </c>
      <c r="K391" s="10" t="s">
        <v>1675</v>
      </c>
      <c r="L391" s="10" t="s">
        <v>1643</v>
      </c>
      <c r="M391" s="11" t="s">
        <v>157</v>
      </c>
    </row>
    <row r="392" customFormat="false" ht="23.85" hidden="false" customHeight="false" outlineLevel="0" collapsed="false">
      <c r="A392" s="10" t="s">
        <v>1676</v>
      </c>
      <c r="B392" s="10" t="s">
        <v>1677</v>
      </c>
      <c r="C392" s="10" t="s">
        <v>1678</v>
      </c>
      <c r="D392" s="10" t="s">
        <v>1679</v>
      </c>
      <c r="E392" s="10" t="s">
        <v>1680</v>
      </c>
      <c r="F392" s="11" t="s">
        <v>105</v>
      </c>
      <c r="G392" s="11" t="n">
        <v>4</v>
      </c>
      <c r="H392" s="11" t="s">
        <v>100</v>
      </c>
      <c r="I392" s="11" t="s">
        <v>144</v>
      </c>
      <c r="J392" s="11" t="s">
        <v>91</v>
      </c>
      <c r="K392" s="10" t="s">
        <v>1681</v>
      </c>
      <c r="L392" s="10" t="s">
        <v>1682</v>
      </c>
      <c r="M392" s="11" t="s">
        <v>157</v>
      </c>
    </row>
    <row r="393" customFormat="false" ht="23.85" hidden="false" customHeight="false" outlineLevel="0" collapsed="false">
      <c r="A393" s="10" t="s">
        <v>1683</v>
      </c>
      <c r="B393" s="10" t="s">
        <v>1677</v>
      </c>
      <c r="C393" s="10" t="s">
        <v>1684</v>
      </c>
      <c r="D393" s="10" t="s">
        <v>1685</v>
      </c>
      <c r="E393" s="10" t="s">
        <v>1686</v>
      </c>
      <c r="F393" s="11" t="s">
        <v>105</v>
      </c>
      <c r="G393" s="11" t="n">
        <v>4</v>
      </c>
      <c r="H393" s="11" t="s">
        <v>100</v>
      </c>
      <c r="I393" s="11" t="s">
        <v>144</v>
      </c>
      <c r="J393" s="11" t="s">
        <v>91</v>
      </c>
      <c r="K393" s="10" t="s">
        <v>221</v>
      </c>
      <c r="L393" s="10" t="s">
        <v>1682</v>
      </c>
      <c r="M393" s="11" t="s">
        <v>157</v>
      </c>
    </row>
    <row r="394" customFormat="false" ht="23.85" hidden="false" customHeight="false" outlineLevel="0" collapsed="false">
      <c r="A394" s="10" t="s">
        <v>1687</v>
      </c>
      <c r="B394" s="10" t="s">
        <v>1677</v>
      </c>
      <c r="C394" s="10" t="s">
        <v>1688</v>
      </c>
      <c r="D394" s="10" t="s">
        <v>1689</v>
      </c>
      <c r="E394" s="10" t="s">
        <v>403</v>
      </c>
      <c r="F394" s="11" t="s">
        <v>105</v>
      </c>
      <c r="G394" s="11" t="n">
        <v>2</v>
      </c>
      <c r="H394" s="11" t="s">
        <v>89</v>
      </c>
      <c r="I394" s="11" t="s">
        <v>144</v>
      </c>
      <c r="J394" s="11" t="s">
        <v>91</v>
      </c>
      <c r="K394" s="10" t="s">
        <v>1626</v>
      </c>
      <c r="L394" s="10" t="s">
        <v>1682</v>
      </c>
      <c r="M394" s="11" t="s">
        <v>157</v>
      </c>
    </row>
    <row r="395" customFormat="false" ht="23.85" hidden="false" customHeight="false" outlineLevel="0" collapsed="false">
      <c r="A395" s="10" t="s">
        <v>1690</v>
      </c>
      <c r="B395" s="10" t="s">
        <v>1677</v>
      </c>
      <c r="C395" s="10" t="s">
        <v>1691</v>
      </c>
      <c r="D395" s="10" t="s">
        <v>1692</v>
      </c>
      <c r="E395" s="10" t="s">
        <v>403</v>
      </c>
      <c r="F395" s="11" t="s">
        <v>105</v>
      </c>
      <c r="G395" s="11" t="n">
        <v>4</v>
      </c>
      <c r="H395" s="11" t="s">
        <v>100</v>
      </c>
      <c r="I395" s="11" t="s">
        <v>144</v>
      </c>
      <c r="J395" s="11" t="s">
        <v>91</v>
      </c>
      <c r="K395" s="10" t="s">
        <v>135</v>
      </c>
      <c r="L395" s="10" t="s">
        <v>1682</v>
      </c>
      <c r="M395" s="11" t="s">
        <v>157</v>
      </c>
    </row>
    <row r="396" customFormat="false" ht="23.85" hidden="false" customHeight="false" outlineLevel="0" collapsed="false">
      <c r="A396" s="10" t="s">
        <v>1693</v>
      </c>
      <c r="B396" s="10" t="s">
        <v>1677</v>
      </c>
      <c r="C396" s="10" t="s">
        <v>1694</v>
      </c>
      <c r="D396" s="10" t="s">
        <v>1695</v>
      </c>
      <c r="E396" s="10" t="s">
        <v>403</v>
      </c>
      <c r="F396" s="11" t="s">
        <v>105</v>
      </c>
      <c r="G396" s="11" t="n">
        <v>2</v>
      </c>
      <c r="H396" s="11" t="s">
        <v>89</v>
      </c>
      <c r="I396" s="11" t="s">
        <v>144</v>
      </c>
      <c r="J396" s="11" t="s">
        <v>91</v>
      </c>
      <c r="K396" s="10" t="s">
        <v>177</v>
      </c>
      <c r="L396" s="10" t="s">
        <v>1682</v>
      </c>
      <c r="M396" s="11" t="s">
        <v>157</v>
      </c>
    </row>
    <row r="397" customFormat="false" ht="23.85" hidden="false" customHeight="false" outlineLevel="0" collapsed="false">
      <c r="A397" s="10" t="s">
        <v>1696</v>
      </c>
      <c r="B397" s="10" t="s">
        <v>1677</v>
      </c>
      <c r="C397" s="10" t="s">
        <v>1697</v>
      </c>
      <c r="D397" s="10" t="s">
        <v>1698</v>
      </c>
      <c r="E397" s="10" t="s">
        <v>154</v>
      </c>
      <c r="F397" s="11" t="s">
        <v>105</v>
      </c>
      <c r="G397" s="11" t="n">
        <v>1</v>
      </c>
      <c r="H397" s="11" t="s">
        <v>89</v>
      </c>
      <c r="I397" s="11" t="s">
        <v>144</v>
      </c>
      <c r="J397" s="11" t="s">
        <v>155</v>
      </c>
      <c r="K397" s="10" t="s">
        <v>177</v>
      </c>
      <c r="L397" s="10" t="s">
        <v>1682</v>
      </c>
      <c r="M397" s="11" t="s">
        <v>157</v>
      </c>
    </row>
    <row r="398" customFormat="false" ht="23.85" hidden="false" customHeight="false" outlineLevel="0" collapsed="false">
      <c r="A398" s="10" t="s">
        <v>1699</v>
      </c>
      <c r="B398" s="10" t="s">
        <v>1677</v>
      </c>
      <c r="C398" s="10" t="s">
        <v>1700</v>
      </c>
      <c r="D398" s="10" t="s">
        <v>1701</v>
      </c>
      <c r="E398" s="10" t="s">
        <v>403</v>
      </c>
      <c r="F398" s="11" t="s">
        <v>105</v>
      </c>
      <c r="G398" s="11" t="n">
        <v>3</v>
      </c>
      <c r="H398" s="11" t="s">
        <v>100</v>
      </c>
      <c r="I398" s="11" t="s">
        <v>172</v>
      </c>
      <c r="J398" s="11" t="s">
        <v>91</v>
      </c>
      <c r="K398" s="10" t="s">
        <v>150</v>
      </c>
      <c r="L398" s="10" t="s">
        <v>1682</v>
      </c>
      <c r="M398" s="11" t="s">
        <v>157</v>
      </c>
    </row>
    <row r="399" customFormat="false" ht="23.85" hidden="false" customHeight="false" outlineLevel="0" collapsed="false">
      <c r="A399" s="10" t="s">
        <v>1702</v>
      </c>
      <c r="B399" s="10" t="s">
        <v>1677</v>
      </c>
      <c r="C399" s="10" t="s">
        <v>1703</v>
      </c>
      <c r="D399" s="10" t="s">
        <v>1704</v>
      </c>
      <c r="E399" s="10" t="s">
        <v>403</v>
      </c>
      <c r="F399" s="11" t="s">
        <v>105</v>
      </c>
      <c r="G399" s="11" t="n">
        <v>3</v>
      </c>
      <c r="H399" s="11" t="s">
        <v>143</v>
      </c>
      <c r="I399" s="11" t="s">
        <v>172</v>
      </c>
      <c r="J399" s="11" t="s">
        <v>91</v>
      </c>
      <c r="K399" s="10" t="s">
        <v>213</v>
      </c>
      <c r="L399" s="10" t="s">
        <v>1682</v>
      </c>
      <c r="M399" s="11" t="s">
        <v>157</v>
      </c>
    </row>
    <row r="400" customFormat="false" ht="23.85" hidden="false" customHeight="false" outlineLevel="0" collapsed="false">
      <c r="A400" s="10" t="s">
        <v>1705</v>
      </c>
      <c r="B400" s="10" t="s">
        <v>1677</v>
      </c>
      <c r="C400" s="10" t="s">
        <v>1706</v>
      </c>
      <c r="D400" s="10" t="s">
        <v>1707</v>
      </c>
      <c r="E400" s="10" t="s">
        <v>1708</v>
      </c>
      <c r="F400" s="11" t="s">
        <v>99</v>
      </c>
      <c r="G400" s="11" t="n">
        <v>3</v>
      </c>
      <c r="H400" s="11" t="s">
        <v>100</v>
      </c>
      <c r="I400" s="11" t="s">
        <v>172</v>
      </c>
      <c r="J400" s="11" t="s">
        <v>91</v>
      </c>
      <c r="K400" s="10" t="s">
        <v>300</v>
      </c>
      <c r="L400" s="10" t="s">
        <v>1682</v>
      </c>
      <c r="M400" s="11" t="s">
        <v>157</v>
      </c>
    </row>
    <row r="401" customFormat="false" ht="23.85" hidden="false" customHeight="false" outlineLevel="0" collapsed="false">
      <c r="A401" s="10" t="s">
        <v>1709</v>
      </c>
      <c r="B401" s="10" t="s">
        <v>1677</v>
      </c>
      <c r="C401" s="10" t="s">
        <v>1710</v>
      </c>
      <c r="D401" s="10" t="s">
        <v>1711</v>
      </c>
      <c r="E401" s="10" t="s">
        <v>403</v>
      </c>
      <c r="F401" s="11" t="s">
        <v>105</v>
      </c>
      <c r="G401" s="11" t="n">
        <v>3</v>
      </c>
      <c r="H401" s="11" t="s">
        <v>100</v>
      </c>
      <c r="I401" s="11" t="s">
        <v>172</v>
      </c>
      <c r="J401" s="11" t="s">
        <v>91</v>
      </c>
      <c r="K401" s="10" t="s">
        <v>135</v>
      </c>
      <c r="L401" s="10" t="s">
        <v>1682</v>
      </c>
      <c r="M401" s="11" t="s">
        <v>157</v>
      </c>
    </row>
    <row r="402" customFormat="false" ht="23.85" hidden="false" customHeight="false" outlineLevel="0" collapsed="false">
      <c r="A402" s="10" t="s">
        <v>1712</v>
      </c>
      <c r="B402" s="10" t="s">
        <v>1677</v>
      </c>
      <c r="C402" s="10" t="s">
        <v>1713</v>
      </c>
      <c r="D402" s="10" t="s">
        <v>1714</v>
      </c>
      <c r="E402" s="10" t="s">
        <v>403</v>
      </c>
      <c r="F402" s="11" t="s">
        <v>105</v>
      </c>
      <c r="G402" s="11" t="n">
        <v>4</v>
      </c>
      <c r="H402" s="11" t="s">
        <v>241</v>
      </c>
      <c r="I402" s="11" t="s">
        <v>172</v>
      </c>
      <c r="J402" s="11" t="s">
        <v>91</v>
      </c>
      <c r="K402" s="10" t="s">
        <v>139</v>
      </c>
      <c r="L402" s="10" t="s">
        <v>1682</v>
      </c>
      <c r="M402" s="11" t="s">
        <v>157</v>
      </c>
    </row>
    <row r="403" customFormat="false" ht="23.85" hidden="false" customHeight="false" outlineLevel="0" collapsed="false">
      <c r="A403" s="10" t="s">
        <v>1715</v>
      </c>
      <c r="B403" s="10" t="s">
        <v>1677</v>
      </c>
      <c r="C403" s="10" t="s">
        <v>1716</v>
      </c>
      <c r="D403" s="10" t="s">
        <v>1717</v>
      </c>
      <c r="E403" s="10" t="s">
        <v>403</v>
      </c>
      <c r="F403" s="11" t="s">
        <v>105</v>
      </c>
      <c r="G403" s="11" t="n">
        <v>4</v>
      </c>
      <c r="H403" s="11" t="s">
        <v>143</v>
      </c>
      <c r="I403" s="11" t="s">
        <v>172</v>
      </c>
      <c r="J403" s="11" t="s">
        <v>91</v>
      </c>
      <c r="K403" s="10" t="s">
        <v>357</v>
      </c>
      <c r="L403" s="10" t="s">
        <v>1682</v>
      </c>
      <c r="M403" s="11" t="s">
        <v>157</v>
      </c>
    </row>
    <row r="404" customFormat="false" ht="23.85" hidden="false" customHeight="false" outlineLevel="0" collapsed="false">
      <c r="A404" s="10" t="s">
        <v>1718</v>
      </c>
      <c r="B404" s="10" t="s">
        <v>1677</v>
      </c>
      <c r="C404" s="10" t="s">
        <v>1719</v>
      </c>
      <c r="D404" s="10" t="s">
        <v>1720</v>
      </c>
      <c r="E404" s="10" t="s">
        <v>1721</v>
      </c>
      <c r="F404" s="11" t="s">
        <v>105</v>
      </c>
      <c r="G404" s="11" t="n">
        <v>3</v>
      </c>
      <c r="H404" s="11" t="s">
        <v>241</v>
      </c>
      <c r="I404" s="11" t="s">
        <v>172</v>
      </c>
      <c r="J404" s="11" t="s">
        <v>91</v>
      </c>
      <c r="K404" s="10" t="s">
        <v>305</v>
      </c>
      <c r="L404" s="10" t="s">
        <v>1682</v>
      </c>
      <c r="M404" s="11" t="s">
        <v>157</v>
      </c>
    </row>
    <row r="405" customFormat="false" ht="23.85" hidden="false" customHeight="false" outlineLevel="0" collapsed="false">
      <c r="A405" s="10" t="s">
        <v>1722</v>
      </c>
      <c r="B405" s="10" t="s">
        <v>1723</v>
      </c>
      <c r="C405" s="10" t="s">
        <v>1724</v>
      </c>
      <c r="D405" s="10" t="s">
        <v>1725</v>
      </c>
      <c r="E405" s="10" t="s">
        <v>1726</v>
      </c>
      <c r="F405" s="11" t="s">
        <v>99</v>
      </c>
      <c r="G405" s="11" t="n">
        <v>4</v>
      </c>
      <c r="H405" s="11" t="s">
        <v>100</v>
      </c>
      <c r="I405" s="11" t="s">
        <v>106</v>
      </c>
      <c r="J405" s="11" t="s">
        <v>155</v>
      </c>
      <c r="K405" s="10" t="s">
        <v>1727</v>
      </c>
      <c r="L405" s="10" t="s">
        <v>1728</v>
      </c>
      <c r="M405" s="11" t="s">
        <v>157</v>
      </c>
    </row>
    <row r="406" customFormat="false" ht="15" hidden="false" customHeight="false" outlineLevel="0" collapsed="false">
      <c r="A406" s="10" t="s">
        <v>1729</v>
      </c>
      <c r="B406" s="10" t="s">
        <v>1723</v>
      </c>
      <c r="C406" s="10" t="s">
        <v>1730</v>
      </c>
      <c r="D406" s="10" t="s">
        <v>1731</v>
      </c>
      <c r="E406" s="10" t="s">
        <v>1732</v>
      </c>
      <c r="F406" s="11" t="s">
        <v>88</v>
      </c>
      <c r="G406" s="11" t="n">
        <v>3</v>
      </c>
      <c r="H406" s="11" t="s">
        <v>89</v>
      </c>
      <c r="I406" s="11" t="s">
        <v>106</v>
      </c>
      <c r="J406" s="11" t="s">
        <v>155</v>
      </c>
      <c r="K406" s="10" t="s">
        <v>177</v>
      </c>
      <c r="L406" s="10" t="s">
        <v>1733</v>
      </c>
      <c r="M406" s="11" t="s">
        <v>157</v>
      </c>
    </row>
    <row r="407" customFormat="false" ht="23.85" hidden="false" customHeight="false" outlineLevel="0" collapsed="false">
      <c r="A407" s="10" t="s">
        <v>1734</v>
      </c>
      <c r="B407" s="10" t="s">
        <v>1723</v>
      </c>
      <c r="C407" s="10" t="s">
        <v>1735</v>
      </c>
      <c r="D407" s="10" t="s">
        <v>1736</v>
      </c>
      <c r="E407" s="10" t="s">
        <v>1737</v>
      </c>
      <c r="F407" s="11" t="s">
        <v>99</v>
      </c>
      <c r="G407" s="11" t="n">
        <v>3</v>
      </c>
      <c r="H407" s="11" t="s">
        <v>143</v>
      </c>
      <c r="I407" s="11" t="s">
        <v>106</v>
      </c>
      <c r="J407" s="11" t="s">
        <v>155</v>
      </c>
      <c r="K407" s="10" t="s">
        <v>123</v>
      </c>
      <c r="L407" s="10" t="s">
        <v>1738</v>
      </c>
      <c r="M407" s="11" t="s">
        <v>157</v>
      </c>
    </row>
    <row r="408" customFormat="false" ht="23.85" hidden="false" customHeight="false" outlineLevel="0" collapsed="false">
      <c r="A408" s="10" t="s">
        <v>1739</v>
      </c>
      <c r="B408" s="10" t="s">
        <v>1723</v>
      </c>
      <c r="C408" s="10" t="s">
        <v>1740</v>
      </c>
      <c r="D408" s="10" t="s">
        <v>1741</v>
      </c>
      <c r="E408" s="10" t="s">
        <v>1742</v>
      </c>
      <c r="F408" s="11" t="s">
        <v>99</v>
      </c>
      <c r="G408" s="11" t="n">
        <v>3</v>
      </c>
      <c r="H408" s="11" t="s">
        <v>100</v>
      </c>
      <c r="I408" s="11" t="s">
        <v>144</v>
      </c>
      <c r="J408" s="11" t="s">
        <v>155</v>
      </c>
      <c r="K408" s="10" t="s">
        <v>150</v>
      </c>
      <c r="L408" s="10" t="s">
        <v>1738</v>
      </c>
      <c r="M408" s="11" t="s">
        <v>157</v>
      </c>
    </row>
    <row r="409" customFormat="false" ht="23.85" hidden="false" customHeight="false" outlineLevel="0" collapsed="false">
      <c r="A409" s="10" t="s">
        <v>1743</v>
      </c>
      <c r="B409" s="10" t="s">
        <v>1723</v>
      </c>
      <c r="C409" s="10" t="s">
        <v>1744</v>
      </c>
      <c r="D409" s="10" t="s">
        <v>1745</v>
      </c>
      <c r="E409" s="10" t="s">
        <v>154</v>
      </c>
      <c r="F409" s="11" t="s">
        <v>105</v>
      </c>
      <c r="G409" s="11" t="n">
        <v>2</v>
      </c>
      <c r="H409" s="11" t="s">
        <v>89</v>
      </c>
      <c r="I409" s="11" t="s">
        <v>106</v>
      </c>
      <c r="J409" s="11" t="s">
        <v>91</v>
      </c>
      <c r="K409" s="10" t="s">
        <v>221</v>
      </c>
      <c r="L409" s="10" t="s">
        <v>1738</v>
      </c>
      <c r="M409" s="11" t="s">
        <v>157</v>
      </c>
    </row>
    <row r="410" customFormat="false" ht="23.85" hidden="false" customHeight="false" outlineLevel="0" collapsed="false">
      <c r="A410" s="10" t="s">
        <v>1746</v>
      </c>
      <c r="B410" s="10" t="s">
        <v>1723</v>
      </c>
      <c r="C410" s="10" t="s">
        <v>1747</v>
      </c>
      <c r="D410" s="10" t="s">
        <v>1748</v>
      </c>
      <c r="E410" s="10" t="s">
        <v>403</v>
      </c>
      <c r="F410" s="11" t="s">
        <v>105</v>
      </c>
      <c r="G410" s="11" t="n">
        <v>2</v>
      </c>
      <c r="H410" s="11" t="s">
        <v>89</v>
      </c>
      <c r="I410" s="11" t="s">
        <v>106</v>
      </c>
      <c r="J410" s="11" t="s">
        <v>155</v>
      </c>
      <c r="K410" s="10" t="s">
        <v>1279</v>
      </c>
      <c r="L410" s="10" t="s">
        <v>1749</v>
      </c>
      <c r="M410" s="11" t="s">
        <v>157</v>
      </c>
    </row>
    <row r="411" customFormat="false" ht="23.85" hidden="false" customHeight="false" outlineLevel="0" collapsed="false">
      <c r="A411" s="10" t="s">
        <v>1750</v>
      </c>
      <c r="B411" s="10" t="s">
        <v>1723</v>
      </c>
      <c r="C411" s="10" t="s">
        <v>1751</v>
      </c>
      <c r="D411" s="10" t="s">
        <v>1752</v>
      </c>
      <c r="E411" s="10" t="s">
        <v>1753</v>
      </c>
      <c r="F411" s="11" t="s">
        <v>99</v>
      </c>
      <c r="G411" s="11" t="n">
        <v>4</v>
      </c>
      <c r="H411" s="11" t="s">
        <v>100</v>
      </c>
      <c r="I411" s="11" t="s">
        <v>106</v>
      </c>
      <c r="J411" s="11" t="s">
        <v>320</v>
      </c>
      <c r="K411" s="10" t="s">
        <v>1754</v>
      </c>
      <c r="L411" s="10" t="s">
        <v>1755</v>
      </c>
      <c r="M411" s="11" t="s">
        <v>157</v>
      </c>
    </row>
    <row r="412" customFormat="false" ht="23.85" hidden="false" customHeight="false" outlineLevel="0" collapsed="false">
      <c r="A412" s="10" t="s">
        <v>1756</v>
      </c>
      <c r="B412" s="10" t="s">
        <v>1723</v>
      </c>
      <c r="C412" s="10" t="s">
        <v>1757</v>
      </c>
      <c r="D412" s="10" t="s">
        <v>1758</v>
      </c>
      <c r="E412" s="10" t="s">
        <v>403</v>
      </c>
      <c r="F412" s="11" t="s">
        <v>105</v>
      </c>
      <c r="G412" s="11" t="n">
        <v>3</v>
      </c>
      <c r="H412" s="11" t="s">
        <v>89</v>
      </c>
      <c r="I412" s="11" t="s">
        <v>106</v>
      </c>
      <c r="J412" s="11" t="s">
        <v>320</v>
      </c>
      <c r="K412" s="10" t="s">
        <v>321</v>
      </c>
      <c r="L412" s="10" t="s">
        <v>1759</v>
      </c>
      <c r="M412" s="11" t="s">
        <v>157</v>
      </c>
    </row>
    <row r="413" customFormat="false" ht="15" hidden="false" customHeight="false" outlineLevel="0" collapsed="false">
      <c r="A413" s="10" t="s">
        <v>1760</v>
      </c>
      <c r="B413" s="10" t="s">
        <v>1723</v>
      </c>
      <c r="C413" s="10" t="s">
        <v>1761</v>
      </c>
      <c r="D413" s="10" t="s">
        <v>1762</v>
      </c>
      <c r="E413" s="10" t="s">
        <v>403</v>
      </c>
      <c r="F413" s="11" t="s">
        <v>105</v>
      </c>
      <c r="G413" s="11" t="n">
        <v>3</v>
      </c>
      <c r="H413" s="11" t="s">
        <v>89</v>
      </c>
      <c r="I413" s="11" t="s">
        <v>106</v>
      </c>
      <c r="J413" s="11" t="s">
        <v>320</v>
      </c>
      <c r="K413" s="10" t="s">
        <v>321</v>
      </c>
      <c r="L413" s="10" t="s">
        <v>1759</v>
      </c>
      <c r="M413" s="11" t="s">
        <v>157</v>
      </c>
    </row>
    <row r="414" customFormat="false" ht="15" hidden="false" customHeight="false" outlineLevel="0" collapsed="false">
      <c r="A414" s="10" t="s">
        <v>1763</v>
      </c>
      <c r="B414" s="10" t="s">
        <v>1723</v>
      </c>
      <c r="C414" s="10" t="s">
        <v>1764</v>
      </c>
      <c r="D414" s="10" t="s">
        <v>1765</v>
      </c>
      <c r="E414" s="10" t="s">
        <v>403</v>
      </c>
      <c r="F414" s="11" t="s">
        <v>105</v>
      </c>
      <c r="G414" s="11" t="n">
        <v>2</v>
      </c>
      <c r="H414" s="11" t="s">
        <v>89</v>
      </c>
      <c r="I414" s="11" t="s">
        <v>106</v>
      </c>
      <c r="J414" s="11" t="s">
        <v>320</v>
      </c>
      <c r="K414" s="10" t="s">
        <v>1647</v>
      </c>
      <c r="L414" s="10" t="s">
        <v>1759</v>
      </c>
      <c r="M414" s="11" t="s">
        <v>157</v>
      </c>
    </row>
    <row r="415" customFormat="false" ht="15" hidden="false" customHeight="false" outlineLevel="0" collapsed="false">
      <c r="A415" s="10" t="s">
        <v>1766</v>
      </c>
      <c r="B415" s="10" t="s">
        <v>1723</v>
      </c>
      <c r="C415" s="10" t="s">
        <v>1767</v>
      </c>
      <c r="D415" s="10" t="s">
        <v>1768</v>
      </c>
      <c r="E415" s="10" t="s">
        <v>403</v>
      </c>
      <c r="F415" s="11" t="s">
        <v>105</v>
      </c>
      <c r="G415" s="11" t="n">
        <v>2</v>
      </c>
      <c r="H415" s="11" t="s">
        <v>89</v>
      </c>
      <c r="I415" s="11" t="s">
        <v>144</v>
      </c>
      <c r="J415" s="11" t="s">
        <v>320</v>
      </c>
      <c r="K415" s="10" t="s">
        <v>1668</v>
      </c>
      <c r="L415" s="10" t="s">
        <v>1759</v>
      </c>
      <c r="M415" s="11" t="s">
        <v>157</v>
      </c>
    </row>
    <row r="416" customFormat="false" ht="15" hidden="false" customHeight="false" outlineLevel="0" collapsed="false">
      <c r="A416" s="10" t="s">
        <v>1769</v>
      </c>
      <c r="B416" s="10" t="s">
        <v>1723</v>
      </c>
      <c r="C416" s="10" t="s">
        <v>1770</v>
      </c>
      <c r="D416" s="10" t="s">
        <v>1771</v>
      </c>
      <c r="E416" s="10" t="s">
        <v>403</v>
      </c>
      <c r="F416" s="11" t="s">
        <v>105</v>
      </c>
      <c r="G416" s="11" t="n">
        <v>2</v>
      </c>
      <c r="H416" s="11" t="s">
        <v>89</v>
      </c>
      <c r="I416" s="11" t="s">
        <v>106</v>
      </c>
      <c r="J416" s="11" t="s">
        <v>320</v>
      </c>
      <c r="K416" s="10" t="s">
        <v>135</v>
      </c>
      <c r="L416" s="10" t="s">
        <v>1759</v>
      </c>
      <c r="M416" s="11" t="s">
        <v>157</v>
      </c>
    </row>
    <row r="417" customFormat="false" ht="23.85" hidden="false" customHeight="false" outlineLevel="0" collapsed="false">
      <c r="A417" s="10" t="s">
        <v>1772</v>
      </c>
      <c r="B417" s="10" t="s">
        <v>1723</v>
      </c>
      <c r="C417" s="10" t="s">
        <v>1773</v>
      </c>
      <c r="D417" s="10" t="s">
        <v>1774</v>
      </c>
      <c r="E417" s="10" t="s">
        <v>1775</v>
      </c>
      <c r="F417" s="11" t="s">
        <v>99</v>
      </c>
      <c r="G417" s="11" t="n">
        <v>4</v>
      </c>
      <c r="H417" s="11" t="s">
        <v>89</v>
      </c>
      <c r="I417" s="11" t="s">
        <v>106</v>
      </c>
      <c r="J417" s="11" t="s">
        <v>91</v>
      </c>
      <c r="K417" s="10" t="s">
        <v>177</v>
      </c>
      <c r="L417" s="10" t="s">
        <v>1759</v>
      </c>
      <c r="M417" s="11" t="s">
        <v>157</v>
      </c>
    </row>
    <row r="418" customFormat="false" ht="23.85" hidden="false" customHeight="false" outlineLevel="0" collapsed="false">
      <c r="A418" s="10" t="s">
        <v>1776</v>
      </c>
      <c r="B418" s="10" t="s">
        <v>1723</v>
      </c>
      <c r="C418" s="10" t="s">
        <v>1777</v>
      </c>
      <c r="D418" s="10" t="s">
        <v>1778</v>
      </c>
      <c r="E418" s="10" t="s">
        <v>403</v>
      </c>
      <c r="F418" s="11" t="s">
        <v>105</v>
      </c>
      <c r="G418" s="11" t="n">
        <v>3</v>
      </c>
      <c r="H418" s="11" t="s">
        <v>100</v>
      </c>
      <c r="I418" s="11" t="s">
        <v>106</v>
      </c>
      <c r="J418" s="11" t="s">
        <v>91</v>
      </c>
      <c r="K418" s="10" t="s">
        <v>135</v>
      </c>
      <c r="L418" s="10" t="s">
        <v>1779</v>
      </c>
      <c r="M418" s="11" t="s">
        <v>157</v>
      </c>
    </row>
    <row r="419" customFormat="false" ht="23.85" hidden="false" customHeight="false" outlineLevel="0" collapsed="false">
      <c r="A419" s="10" t="s">
        <v>1780</v>
      </c>
      <c r="B419" s="10" t="s">
        <v>1723</v>
      </c>
      <c r="C419" s="10" t="s">
        <v>1781</v>
      </c>
      <c r="D419" s="10" t="s">
        <v>1782</v>
      </c>
      <c r="E419" s="10" t="s">
        <v>403</v>
      </c>
      <c r="F419" s="11" t="s">
        <v>105</v>
      </c>
      <c r="G419" s="11" t="n">
        <v>2</v>
      </c>
      <c r="H419" s="11" t="s">
        <v>89</v>
      </c>
      <c r="I419" s="11" t="s">
        <v>144</v>
      </c>
      <c r="J419" s="11" t="s">
        <v>91</v>
      </c>
      <c r="K419" s="10" t="s">
        <v>1647</v>
      </c>
      <c r="L419" s="10" t="s">
        <v>1783</v>
      </c>
      <c r="M419" s="11" t="s">
        <v>157</v>
      </c>
    </row>
    <row r="420" customFormat="false" ht="23.85" hidden="false" customHeight="false" outlineLevel="0" collapsed="false">
      <c r="A420" s="10" t="s">
        <v>1784</v>
      </c>
      <c r="B420" s="10" t="s">
        <v>1723</v>
      </c>
      <c r="C420" s="10" t="s">
        <v>1785</v>
      </c>
      <c r="D420" s="10" t="s">
        <v>1786</v>
      </c>
      <c r="E420" s="10" t="s">
        <v>1787</v>
      </c>
      <c r="F420" s="11" t="s">
        <v>99</v>
      </c>
      <c r="G420" s="11" t="n">
        <v>5</v>
      </c>
      <c r="H420" s="11" t="s">
        <v>100</v>
      </c>
      <c r="I420" s="11" t="s">
        <v>106</v>
      </c>
      <c r="J420" s="11" t="s">
        <v>91</v>
      </c>
      <c r="K420" s="10" t="s">
        <v>1788</v>
      </c>
      <c r="L420" s="10" t="s">
        <v>1738</v>
      </c>
      <c r="M420" s="11" t="s">
        <v>94</v>
      </c>
    </row>
    <row r="421" customFormat="false" ht="23.85" hidden="false" customHeight="false" outlineLevel="0" collapsed="false">
      <c r="A421" s="10" t="s">
        <v>1789</v>
      </c>
      <c r="B421" s="10" t="s">
        <v>1723</v>
      </c>
      <c r="C421" s="10" t="s">
        <v>1790</v>
      </c>
      <c r="D421" s="10" t="s">
        <v>1791</v>
      </c>
      <c r="E421" s="10" t="s">
        <v>1792</v>
      </c>
      <c r="F421" s="11" t="s">
        <v>99</v>
      </c>
      <c r="G421" s="11" t="n">
        <v>4</v>
      </c>
      <c r="H421" s="11" t="s">
        <v>100</v>
      </c>
      <c r="I421" s="11" t="s">
        <v>144</v>
      </c>
      <c r="J421" s="11" t="s">
        <v>91</v>
      </c>
      <c r="K421" s="10" t="s">
        <v>1793</v>
      </c>
      <c r="L421" s="10" t="s">
        <v>1738</v>
      </c>
      <c r="M421" s="11" t="s">
        <v>94</v>
      </c>
    </row>
    <row r="422" customFormat="false" ht="15" hidden="false" customHeight="false" outlineLevel="0" collapsed="false">
      <c r="A422" s="10" t="s">
        <v>1794</v>
      </c>
      <c r="B422" s="10" t="s">
        <v>1723</v>
      </c>
      <c r="C422" s="10" t="s">
        <v>1795</v>
      </c>
      <c r="D422" s="10" t="s">
        <v>1796</v>
      </c>
      <c r="E422" s="10" t="s">
        <v>403</v>
      </c>
      <c r="F422" s="11" t="s">
        <v>105</v>
      </c>
      <c r="G422" s="11" t="n">
        <v>3</v>
      </c>
      <c r="H422" s="11" t="s">
        <v>89</v>
      </c>
      <c r="I422" s="11" t="s">
        <v>106</v>
      </c>
      <c r="J422" s="11" t="s">
        <v>91</v>
      </c>
      <c r="K422" s="10" t="s">
        <v>177</v>
      </c>
      <c r="L422" s="10" t="s">
        <v>1797</v>
      </c>
      <c r="M422" s="11" t="s">
        <v>157</v>
      </c>
    </row>
    <row r="423" customFormat="false" ht="15" hidden="false" customHeight="false" outlineLevel="0" collapsed="false">
      <c r="A423" s="10" t="s">
        <v>1798</v>
      </c>
      <c r="B423" s="10" t="s">
        <v>1723</v>
      </c>
      <c r="C423" s="10" t="s">
        <v>1799</v>
      </c>
      <c r="D423" s="10" t="s">
        <v>1800</v>
      </c>
      <c r="E423" s="10" t="s">
        <v>1801</v>
      </c>
      <c r="F423" s="11" t="s">
        <v>105</v>
      </c>
      <c r="G423" s="11" t="n">
        <v>3</v>
      </c>
      <c r="H423" s="11" t="s">
        <v>89</v>
      </c>
      <c r="I423" s="11" t="s">
        <v>106</v>
      </c>
      <c r="J423" s="11" t="s">
        <v>91</v>
      </c>
      <c r="K423" s="10" t="s">
        <v>177</v>
      </c>
      <c r="L423" s="10" t="s">
        <v>1797</v>
      </c>
      <c r="M423" s="11" t="s">
        <v>157</v>
      </c>
    </row>
    <row r="424" customFormat="false" ht="23.85" hidden="false" customHeight="false" outlineLevel="0" collapsed="false">
      <c r="A424" s="10" t="s">
        <v>1802</v>
      </c>
      <c r="B424" s="10" t="s">
        <v>1723</v>
      </c>
      <c r="C424" s="10" t="s">
        <v>1803</v>
      </c>
      <c r="D424" s="10" t="s">
        <v>1804</v>
      </c>
      <c r="E424" s="10" t="s">
        <v>1805</v>
      </c>
      <c r="F424" s="11" t="s">
        <v>99</v>
      </c>
      <c r="G424" s="11" t="n">
        <v>4</v>
      </c>
      <c r="H424" s="11" t="s">
        <v>89</v>
      </c>
      <c r="I424" s="11" t="s">
        <v>106</v>
      </c>
      <c r="J424" s="11" t="s">
        <v>91</v>
      </c>
      <c r="K424" s="10" t="s">
        <v>177</v>
      </c>
      <c r="L424" s="10" t="s">
        <v>1797</v>
      </c>
      <c r="M424" s="11" t="s">
        <v>157</v>
      </c>
    </row>
    <row r="425" customFormat="false" ht="23.85" hidden="false" customHeight="false" outlineLevel="0" collapsed="false">
      <c r="A425" s="10" t="s">
        <v>1806</v>
      </c>
      <c r="B425" s="10" t="s">
        <v>1723</v>
      </c>
      <c r="C425" s="10" t="s">
        <v>1807</v>
      </c>
      <c r="D425" s="10" t="s">
        <v>1808</v>
      </c>
      <c r="E425" s="10" t="s">
        <v>403</v>
      </c>
      <c r="F425" s="11" t="s">
        <v>105</v>
      </c>
      <c r="G425" s="11" t="n">
        <v>2</v>
      </c>
      <c r="H425" s="11" t="s">
        <v>89</v>
      </c>
      <c r="I425" s="11" t="s">
        <v>106</v>
      </c>
      <c r="J425" s="11" t="s">
        <v>176</v>
      </c>
      <c r="K425" s="10" t="s">
        <v>1809</v>
      </c>
      <c r="L425" s="10" t="s">
        <v>1738</v>
      </c>
      <c r="M425" s="11" t="s">
        <v>157</v>
      </c>
    </row>
    <row r="426" customFormat="false" ht="15" hidden="false" customHeight="false" outlineLevel="0" collapsed="false">
      <c r="A426" s="10" t="s">
        <v>1810</v>
      </c>
      <c r="B426" s="10" t="s">
        <v>1723</v>
      </c>
      <c r="C426" s="10" t="s">
        <v>1811</v>
      </c>
      <c r="D426" s="10" t="s">
        <v>1812</v>
      </c>
      <c r="E426" s="10" t="s">
        <v>403</v>
      </c>
      <c r="F426" s="11" t="s">
        <v>105</v>
      </c>
      <c r="G426" s="11" t="n">
        <v>2</v>
      </c>
      <c r="H426" s="11" t="s">
        <v>89</v>
      </c>
      <c r="I426" s="11" t="s">
        <v>144</v>
      </c>
      <c r="J426" s="11" t="s">
        <v>176</v>
      </c>
      <c r="K426" s="10" t="s">
        <v>177</v>
      </c>
      <c r="L426" s="10" t="s">
        <v>1813</v>
      </c>
      <c r="M426" s="11" t="s">
        <v>157</v>
      </c>
    </row>
    <row r="427" customFormat="false" ht="23.85" hidden="false" customHeight="false" outlineLevel="0" collapsed="false">
      <c r="A427" s="10" t="s">
        <v>1814</v>
      </c>
      <c r="B427" s="10" t="s">
        <v>1723</v>
      </c>
      <c r="C427" s="10" t="s">
        <v>1815</v>
      </c>
      <c r="D427" s="10" t="s">
        <v>1816</v>
      </c>
      <c r="E427" s="10" t="s">
        <v>1817</v>
      </c>
      <c r="F427" s="11" t="s">
        <v>99</v>
      </c>
      <c r="G427" s="11" t="n">
        <v>3</v>
      </c>
      <c r="H427" s="11" t="s">
        <v>143</v>
      </c>
      <c r="I427" s="11" t="s">
        <v>144</v>
      </c>
      <c r="J427" s="11" t="s">
        <v>805</v>
      </c>
      <c r="K427" s="10" t="s">
        <v>135</v>
      </c>
      <c r="L427" s="10" t="s">
        <v>1738</v>
      </c>
      <c r="M427" s="11" t="s">
        <v>157</v>
      </c>
    </row>
    <row r="428" customFormat="false" ht="23.85" hidden="false" customHeight="false" outlineLevel="0" collapsed="false">
      <c r="A428" s="10" t="s">
        <v>1818</v>
      </c>
      <c r="B428" s="10" t="s">
        <v>1723</v>
      </c>
      <c r="C428" s="10" t="s">
        <v>1819</v>
      </c>
      <c r="D428" s="10" t="s">
        <v>1820</v>
      </c>
      <c r="E428" s="10" t="s">
        <v>1821</v>
      </c>
      <c r="F428" s="11" t="s">
        <v>99</v>
      </c>
      <c r="G428" s="11" t="n">
        <v>3</v>
      </c>
      <c r="H428" s="11" t="s">
        <v>100</v>
      </c>
      <c r="I428" s="11" t="s">
        <v>144</v>
      </c>
      <c r="J428" s="11" t="s">
        <v>91</v>
      </c>
      <c r="K428" s="10" t="s">
        <v>135</v>
      </c>
      <c r="L428" s="10" t="s">
        <v>1738</v>
      </c>
      <c r="M428" s="11" t="s">
        <v>157</v>
      </c>
    </row>
    <row r="429" customFormat="false" ht="23.85" hidden="false" customHeight="false" outlineLevel="0" collapsed="false">
      <c r="A429" s="10" t="s">
        <v>1822</v>
      </c>
      <c r="B429" s="10" t="s">
        <v>1723</v>
      </c>
      <c r="C429" s="10" t="s">
        <v>1823</v>
      </c>
      <c r="D429" s="10" t="s">
        <v>1824</v>
      </c>
      <c r="E429" s="10" t="s">
        <v>1825</v>
      </c>
      <c r="F429" s="11" t="s">
        <v>99</v>
      </c>
      <c r="G429" s="11" t="n">
        <v>3</v>
      </c>
      <c r="H429" s="11" t="s">
        <v>143</v>
      </c>
      <c r="I429" s="11" t="s">
        <v>144</v>
      </c>
      <c r="J429" s="11" t="s">
        <v>176</v>
      </c>
      <c r="K429" s="10" t="s">
        <v>293</v>
      </c>
      <c r="L429" s="10" t="s">
        <v>1738</v>
      </c>
      <c r="M429" s="11" t="s">
        <v>157</v>
      </c>
    </row>
    <row r="430" customFormat="false" ht="23.85" hidden="false" customHeight="false" outlineLevel="0" collapsed="false">
      <c r="A430" s="10" t="s">
        <v>1826</v>
      </c>
      <c r="B430" s="10" t="s">
        <v>1723</v>
      </c>
      <c r="C430" s="10" t="s">
        <v>1827</v>
      </c>
      <c r="D430" s="10" t="s">
        <v>1828</v>
      </c>
      <c r="E430" s="10" t="s">
        <v>1829</v>
      </c>
      <c r="F430" s="11" t="s">
        <v>99</v>
      </c>
      <c r="G430" s="11" t="n">
        <v>2</v>
      </c>
      <c r="H430" s="11" t="s">
        <v>89</v>
      </c>
      <c r="I430" s="11" t="s">
        <v>144</v>
      </c>
      <c r="J430" s="11" t="s">
        <v>176</v>
      </c>
      <c r="K430" s="10" t="s">
        <v>177</v>
      </c>
      <c r="L430" s="10" t="s">
        <v>1830</v>
      </c>
      <c r="M430" s="11" t="s">
        <v>157</v>
      </c>
    </row>
    <row r="431" customFormat="false" ht="15" hidden="false" customHeight="false" outlineLevel="0" collapsed="false">
      <c r="A431" s="10" t="s">
        <v>1831</v>
      </c>
      <c r="B431" s="10" t="s">
        <v>1723</v>
      </c>
      <c r="C431" s="10" t="s">
        <v>1832</v>
      </c>
      <c r="D431" s="10" t="s">
        <v>1833</v>
      </c>
      <c r="E431" s="10" t="s">
        <v>403</v>
      </c>
      <c r="F431" s="11" t="s">
        <v>105</v>
      </c>
      <c r="G431" s="11" t="n">
        <v>2</v>
      </c>
      <c r="H431" s="11" t="s">
        <v>89</v>
      </c>
      <c r="I431" s="11" t="s">
        <v>144</v>
      </c>
      <c r="J431" s="11" t="s">
        <v>176</v>
      </c>
      <c r="K431" s="10" t="s">
        <v>177</v>
      </c>
      <c r="L431" s="10" t="s">
        <v>1834</v>
      </c>
      <c r="M431" s="11" t="s">
        <v>157</v>
      </c>
    </row>
    <row r="432" customFormat="false" ht="23.85" hidden="false" customHeight="false" outlineLevel="0" collapsed="false">
      <c r="A432" s="10" t="s">
        <v>1835</v>
      </c>
      <c r="B432" s="10" t="s">
        <v>1723</v>
      </c>
      <c r="C432" s="10" t="s">
        <v>1836</v>
      </c>
      <c r="D432" s="10" t="s">
        <v>1837</v>
      </c>
      <c r="E432" s="10" t="s">
        <v>403</v>
      </c>
      <c r="F432" s="11" t="s">
        <v>105</v>
      </c>
      <c r="G432" s="11" t="n">
        <v>2</v>
      </c>
      <c r="H432" s="11" t="s">
        <v>100</v>
      </c>
      <c r="I432" s="11" t="s">
        <v>144</v>
      </c>
      <c r="J432" s="11" t="s">
        <v>91</v>
      </c>
      <c r="K432" s="10" t="s">
        <v>1838</v>
      </c>
      <c r="L432" s="10" t="s">
        <v>1839</v>
      </c>
      <c r="M432" s="11" t="s">
        <v>157</v>
      </c>
    </row>
    <row r="433" customFormat="false" ht="23.85" hidden="false" customHeight="false" outlineLevel="0" collapsed="false">
      <c r="A433" s="10" t="s">
        <v>1840</v>
      </c>
      <c r="B433" s="10" t="s">
        <v>1841</v>
      </c>
      <c r="C433" s="10" t="s">
        <v>1842</v>
      </c>
      <c r="D433" s="10" t="s">
        <v>1843</v>
      </c>
      <c r="E433" s="10" t="s">
        <v>1844</v>
      </c>
      <c r="F433" s="11" t="s">
        <v>105</v>
      </c>
      <c r="G433" s="11" t="n">
        <v>3</v>
      </c>
      <c r="H433" s="11" t="s">
        <v>89</v>
      </c>
      <c r="I433" s="11" t="s">
        <v>144</v>
      </c>
      <c r="J433" s="11" t="s">
        <v>91</v>
      </c>
      <c r="K433" s="10" t="s">
        <v>217</v>
      </c>
      <c r="L433" s="10" t="s">
        <v>1845</v>
      </c>
      <c r="M433" s="11" t="s">
        <v>157</v>
      </c>
    </row>
    <row r="434" customFormat="false" ht="23.85" hidden="false" customHeight="false" outlineLevel="0" collapsed="false">
      <c r="A434" s="10" t="s">
        <v>1846</v>
      </c>
      <c r="B434" s="10" t="s">
        <v>1841</v>
      </c>
      <c r="C434" s="10" t="s">
        <v>1847</v>
      </c>
      <c r="D434" s="10" t="s">
        <v>1848</v>
      </c>
      <c r="E434" s="10" t="s">
        <v>1844</v>
      </c>
      <c r="F434" s="11" t="s">
        <v>105</v>
      </c>
      <c r="G434" s="11" t="n">
        <v>3</v>
      </c>
      <c r="H434" s="11" t="s">
        <v>143</v>
      </c>
      <c r="I434" s="11" t="s">
        <v>144</v>
      </c>
      <c r="J434" s="11" t="s">
        <v>91</v>
      </c>
      <c r="K434" s="10" t="s">
        <v>139</v>
      </c>
      <c r="L434" s="10" t="s">
        <v>1845</v>
      </c>
      <c r="M434" s="11" t="s">
        <v>157</v>
      </c>
    </row>
    <row r="435" customFormat="false" ht="23.85" hidden="false" customHeight="false" outlineLevel="0" collapsed="false">
      <c r="A435" s="10" t="s">
        <v>1849</v>
      </c>
      <c r="B435" s="10" t="s">
        <v>1841</v>
      </c>
      <c r="C435" s="10" t="s">
        <v>1850</v>
      </c>
      <c r="D435" s="10" t="s">
        <v>1851</v>
      </c>
      <c r="E435" s="10" t="s">
        <v>1844</v>
      </c>
      <c r="F435" s="11" t="s">
        <v>105</v>
      </c>
      <c r="G435" s="11" t="n">
        <v>2</v>
      </c>
      <c r="H435" s="11" t="s">
        <v>143</v>
      </c>
      <c r="I435" s="11" t="s">
        <v>172</v>
      </c>
      <c r="J435" s="11" t="s">
        <v>91</v>
      </c>
      <c r="K435" s="10" t="s">
        <v>139</v>
      </c>
      <c r="L435" s="10" t="s">
        <v>1845</v>
      </c>
      <c r="M435" s="11" t="s">
        <v>157</v>
      </c>
    </row>
    <row r="436" customFormat="false" ht="23.85" hidden="false" customHeight="false" outlineLevel="0" collapsed="false">
      <c r="A436" s="10" t="s">
        <v>1852</v>
      </c>
      <c r="B436" s="10" t="s">
        <v>1841</v>
      </c>
      <c r="C436" s="10" t="s">
        <v>1853</v>
      </c>
      <c r="D436" s="10" t="s">
        <v>1854</v>
      </c>
      <c r="E436" s="10" t="s">
        <v>1844</v>
      </c>
      <c r="F436" s="11" t="s">
        <v>105</v>
      </c>
      <c r="G436" s="11" t="n">
        <v>4</v>
      </c>
      <c r="H436" s="11" t="s">
        <v>143</v>
      </c>
      <c r="I436" s="11" t="s">
        <v>144</v>
      </c>
      <c r="J436" s="11" t="s">
        <v>91</v>
      </c>
      <c r="K436" s="10" t="s">
        <v>357</v>
      </c>
      <c r="L436" s="10" t="s">
        <v>1855</v>
      </c>
      <c r="M436" s="11" t="s">
        <v>157</v>
      </c>
    </row>
    <row r="437" customFormat="false" ht="15" hidden="false" customHeight="false" outlineLevel="0" collapsed="false">
      <c r="A437" s="10" t="s">
        <v>1856</v>
      </c>
      <c r="B437" s="10" t="s">
        <v>1841</v>
      </c>
      <c r="C437" s="10" t="s">
        <v>1857</v>
      </c>
      <c r="D437" s="10" t="s">
        <v>1858</v>
      </c>
      <c r="E437" s="10" t="s">
        <v>1844</v>
      </c>
      <c r="F437" s="11" t="s">
        <v>105</v>
      </c>
      <c r="G437" s="11" t="n">
        <v>4</v>
      </c>
      <c r="H437" s="11" t="s">
        <v>89</v>
      </c>
      <c r="I437" s="11" t="s">
        <v>144</v>
      </c>
      <c r="J437" s="11" t="s">
        <v>91</v>
      </c>
      <c r="K437" s="10" t="s">
        <v>1859</v>
      </c>
      <c r="L437" s="10" t="s">
        <v>1855</v>
      </c>
      <c r="M437" s="11" t="s">
        <v>157</v>
      </c>
    </row>
    <row r="438" customFormat="false" ht="15" hidden="false" customHeight="false" outlineLevel="0" collapsed="false">
      <c r="A438" s="10" t="s">
        <v>1860</v>
      </c>
      <c r="B438" s="10" t="s">
        <v>1841</v>
      </c>
      <c r="C438" s="10" t="s">
        <v>1861</v>
      </c>
      <c r="D438" s="10" t="s">
        <v>1862</v>
      </c>
      <c r="E438" s="10" t="s">
        <v>1844</v>
      </c>
      <c r="F438" s="11" t="s">
        <v>105</v>
      </c>
      <c r="G438" s="11" t="n">
        <v>2</v>
      </c>
      <c r="H438" s="11" t="s">
        <v>89</v>
      </c>
      <c r="I438" s="11" t="s">
        <v>144</v>
      </c>
      <c r="J438" s="11" t="s">
        <v>91</v>
      </c>
      <c r="K438" s="10" t="s">
        <v>1859</v>
      </c>
      <c r="L438" s="10" t="s">
        <v>1855</v>
      </c>
      <c r="M438" s="11" t="s">
        <v>157</v>
      </c>
    </row>
    <row r="439" customFormat="false" ht="15" hidden="false" customHeight="false" outlineLevel="0" collapsed="false">
      <c r="A439" s="10" t="s">
        <v>1863</v>
      </c>
      <c r="B439" s="10" t="s">
        <v>1841</v>
      </c>
      <c r="C439" s="10" t="s">
        <v>1864</v>
      </c>
      <c r="D439" s="10" t="s">
        <v>1865</v>
      </c>
      <c r="E439" s="10" t="s">
        <v>1844</v>
      </c>
      <c r="F439" s="11" t="s">
        <v>105</v>
      </c>
      <c r="G439" s="11" t="n">
        <v>3</v>
      </c>
      <c r="H439" s="11" t="s">
        <v>89</v>
      </c>
      <c r="I439" s="11" t="s">
        <v>144</v>
      </c>
      <c r="J439" s="11" t="s">
        <v>91</v>
      </c>
      <c r="K439" s="10" t="s">
        <v>217</v>
      </c>
      <c r="L439" s="10" t="s">
        <v>1855</v>
      </c>
      <c r="M439" s="11" t="s">
        <v>157</v>
      </c>
    </row>
    <row r="440" customFormat="false" ht="15" hidden="false" customHeight="false" outlineLevel="0" collapsed="false">
      <c r="A440" s="10" t="s">
        <v>1866</v>
      </c>
      <c r="B440" s="10" t="s">
        <v>1841</v>
      </c>
      <c r="C440" s="10" t="s">
        <v>1867</v>
      </c>
      <c r="D440" s="10" t="s">
        <v>1868</v>
      </c>
      <c r="E440" s="10" t="s">
        <v>1844</v>
      </c>
      <c r="F440" s="11" t="s">
        <v>105</v>
      </c>
      <c r="G440" s="11" t="n">
        <v>1</v>
      </c>
      <c r="H440" s="11" t="s">
        <v>89</v>
      </c>
      <c r="I440" s="11" t="s">
        <v>144</v>
      </c>
      <c r="J440" s="11" t="s">
        <v>91</v>
      </c>
      <c r="K440" s="10" t="s">
        <v>1859</v>
      </c>
      <c r="L440" s="10" t="s">
        <v>1855</v>
      </c>
      <c r="M440" s="11" t="s">
        <v>157</v>
      </c>
    </row>
    <row r="441" customFormat="false" ht="23.85" hidden="false" customHeight="false" outlineLevel="0" collapsed="false">
      <c r="A441" s="10" t="s">
        <v>1869</v>
      </c>
      <c r="B441" s="10" t="s">
        <v>1841</v>
      </c>
      <c r="C441" s="10" t="s">
        <v>1870</v>
      </c>
      <c r="D441" s="10" t="s">
        <v>1871</v>
      </c>
      <c r="E441" s="10" t="s">
        <v>1844</v>
      </c>
      <c r="F441" s="11" t="s">
        <v>105</v>
      </c>
      <c r="G441" s="11" t="n">
        <v>2</v>
      </c>
      <c r="H441" s="11" t="s">
        <v>100</v>
      </c>
      <c r="I441" s="11" t="s">
        <v>144</v>
      </c>
      <c r="J441" s="11" t="s">
        <v>155</v>
      </c>
      <c r="K441" s="10" t="s">
        <v>305</v>
      </c>
      <c r="L441" s="10" t="s">
        <v>1872</v>
      </c>
      <c r="M441" s="11" t="s">
        <v>157</v>
      </c>
    </row>
    <row r="442" customFormat="false" ht="23.85" hidden="false" customHeight="false" outlineLevel="0" collapsed="false">
      <c r="A442" s="10" t="s">
        <v>1873</v>
      </c>
      <c r="B442" s="10" t="s">
        <v>1841</v>
      </c>
      <c r="C442" s="10" t="s">
        <v>1874</v>
      </c>
      <c r="D442" s="10" t="s">
        <v>1875</v>
      </c>
      <c r="E442" s="10" t="s">
        <v>1844</v>
      </c>
      <c r="F442" s="11" t="s">
        <v>105</v>
      </c>
      <c r="G442" s="11" t="n">
        <v>3</v>
      </c>
      <c r="H442" s="11" t="s">
        <v>100</v>
      </c>
      <c r="I442" s="11" t="s">
        <v>172</v>
      </c>
      <c r="J442" s="11" t="s">
        <v>91</v>
      </c>
      <c r="K442" s="10" t="s">
        <v>907</v>
      </c>
      <c r="L442" s="10" t="s">
        <v>1845</v>
      </c>
      <c r="M442" s="11" t="s">
        <v>157</v>
      </c>
    </row>
    <row r="443" customFormat="false" ht="23.85" hidden="false" customHeight="false" outlineLevel="0" collapsed="false">
      <c r="A443" s="10" t="s">
        <v>1876</v>
      </c>
      <c r="B443" s="10" t="s">
        <v>1877</v>
      </c>
      <c r="C443" s="10" t="s">
        <v>1878</v>
      </c>
      <c r="D443" s="10" t="s">
        <v>1879</v>
      </c>
      <c r="E443" s="10" t="s">
        <v>1880</v>
      </c>
      <c r="F443" s="11" t="s">
        <v>99</v>
      </c>
      <c r="G443" s="11" t="n">
        <v>5</v>
      </c>
      <c r="H443" s="11" t="s">
        <v>241</v>
      </c>
      <c r="I443" s="11" t="s">
        <v>106</v>
      </c>
      <c r="J443" s="11" t="s">
        <v>91</v>
      </c>
      <c r="K443" s="10" t="s">
        <v>305</v>
      </c>
      <c r="L443" s="10" t="s">
        <v>1881</v>
      </c>
      <c r="M443" s="11" t="s">
        <v>94</v>
      </c>
    </row>
    <row r="444" customFormat="false" ht="23.85" hidden="false" customHeight="false" outlineLevel="0" collapsed="false">
      <c r="A444" s="10" t="s">
        <v>1882</v>
      </c>
      <c r="B444" s="10" t="s">
        <v>1877</v>
      </c>
      <c r="C444" s="10" t="s">
        <v>1883</v>
      </c>
      <c r="D444" s="10" t="s">
        <v>1884</v>
      </c>
      <c r="E444" s="10" t="s">
        <v>1885</v>
      </c>
      <c r="F444" s="11" t="s">
        <v>105</v>
      </c>
      <c r="G444" s="11" t="n">
        <v>5</v>
      </c>
      <c r="H444" s="11" t="s">
        <v>100</v>
      </c>
      <c r="I444" s="11" t="s">
        <v>106</v>
      </c>
      <c r="J444" s="11" t="s">
        <v>91</v>
      </c>
      <c r="K444" s="10" t="s">
        <v>305</v>
      </c>
      <c r="L444" s="10" t="s">
        <v>1886</v>
      </c>
      <c r="M444" s="11" t="s">
        <v>94</v>
      </c>
    </row>
    <row r="445" customFormat="false" ht="23.85" hidden="false" customHeight="false" outlineLevel="0" collapsed="false">
      <c r="A445" s="10" t="s">
        <v>1887</v>
      </c>
      <c r="B445" s="10" t="s">
        <v>1877</v>
      </c>
      <c r="C445" s="10" t="s">
        <v>1888</v>
      </c>
      <c r="D445" s="10" t="s">
        <v>1889</v>
      </c>
      <c r="E445" s="10" t="s">
        <v>403</v>
      </c>
      <c r="F445" s="11" t="s">
        <v>105</v>
      </c>
      <c r="G445" s="11" t="n">
        <v>4</v>
      </c>
      <c r="H445" s="11" t="s">
        <v>100</v>
      </c>
      <c r="I445" s="11" t="s">
        <v>106</v>
      </c>
      <c r="J445" s="11" t="s">
        <v>91</v>
      </c>
      <c r="K445" s="10" t="s">
        <v>1890</v>
      </c>
      <c r="L445" s="10" t="s">
        <v>1881</v>
      </c>
      <c r="M445" s="11" t="s">
        <v>94</v>
      </c>
    </row>
    <row r="446" customFormat="false" ht="23.85" hidden="false" customHeight="false" outlineLevel="0" collapsed="false">
      <c r="A446" s="10" t="s">
        <v>1891</v>
      </c>
      <c r="B446" s="10" t="s">
        <v>1877</v>
      </c>
      <c r="C446" s="10" t="s">
        <v>1892</v>
      </c>
      <c r="D446" s="10" t="s">
        <v>1893</v>
      </c>
      <c r="E446" s="10" t="s">
        <v>403</v>
      </c>
      <c r="F446" s="11" t="s">
        <v>105</v>
      </c>
      <c r="G446" s="11" t="n">
        <v>4</v>
      </c>
      <c r="H446" s="11" t="s">
        <v>100</v>
      </c>
      <c r="I446" s="11" t="s">
        <v>106</v>
      </c>
      <c r="J446" s="11" t="s">
        <v>91</v>
      </c>
      <c r="K446" s="10" t="s">
        <v>1890</v>
      </c>
      <c r="L446" s="10" t="s">
        <v>1881</v>
      </c>
      <c r="M446" s="11" t="s">
        <v>94</v>
      </c>
    </row>
    <row r="447" customFormat="false" ht="23.85" hidden="false" customHeight="false" outlineLevel="0" collapsed="false">
      <c r="A447" s="10" t="s">
        <v>1894</v>
      </c>
      <c r="B447" s="10" t="s">
        <v>1877</v>
      </c>
      <c r="C447" s="10" t="s">
        <v>1895</v>
      </c>
      <c r="D447" s="10" t="s">
        <v>1896</v>
      </c>
      <c r="E447" s="10" t="s">
        <v>403</v>
      </c>
      <c r="F447" s="11" t="s">
        <v>105</v>
      </c>
      <c r="G447" s="11" t="n">
        <v>3</v>
      </c>
      <c r="H447" s="11" t="s">
        <v>89</v>
      </c>
      <c r="I447" s="11" t="s">
        <v>106</v>
      </c>
      <c r="J447" s="11" t="s">
        <v>91</v>
      </c>
      <c r="K447" s="10" t="s">
        <v>1890</v>
      </c>
      <c r="L447" s="10" t="s">
        <v>1881</v>
      </c>
      <c r="M447" s="11" t="s">
        <v>94</v>
      </c>
    </row>
    <row r="448" customFormat="false" ht="23.85" hidden="false" customHeight="false" outlineLevel="0" collapsed="false">
      <c r="A448" s="10" t="s">
        <v>1897</v>
      </c>
      <c r="B448" s="10" t="s">
        <v>1877</v>
      </c>
      <c r="C448" s="10" t="s">
        <v>1898</v>
      </c>
      <c r="D448" s="10" t="s">
        <v>1899</v>
      </c>
      <c r="E448" s="10" t="s">
        <v>1900</v>
      </c>
      <c r="F448" s="11" t="s">
        <v>105</v>
      </c>
      <c r="G448" s="11" t="n">
        <v>4</v>
      </c>
      <c r="H448" s="11" t="s">
        <v>100</v>
      </c>
      <c r="I448" s="11" t="s">
        <v>106</v>
      </c>
      <c r="J448" s="11" t="s">
        <v>91</v>
      </c>
      <c r="K448" s="10" t="s">
        <v>1901</v>
      </c>
      <c r="L448" s="10" t="s">
        <v>1881</v>
      </c>
      <c r="M448" s="11" t="s">
        <v>94</v>
      </c>
    </row>
    <row r="449" customFormat="false" ht="23.85" hidden="false" customHeight="false" outlineLevel="0" collapsed="false">
      <c r="A449" s="10" t="s">
        <v>1902</v>
      </c>
      <c r="B449" s="10" t="s">
        <v>1877</v>
      </c>
      <c r="C449" s="10" t="s">
        <v>1903</v>
      </c>
      <c r="D449" s="10" t="s">
        <v>1904</v>
      </c>
      <c r="E449" s="10" t="s">
        <v>403</v>
      </c>
      <c r="F449" s="11" t="s">
        <v>105</v>
      </c>
      <c r="G449" s="11" t="n">
        <v>4</v>
      </c>
      <c r="H449" s="11" t="s">
        <v>100</v>
      </c>
      <c r="I449" s="11" t="s">
        <v>106</v>
      </c>
      <c r="J449" s="11" t="s">
        <v>91</v>
      </c>
      <c r="K449" s="10" t="s">
        <v>1890</v>
      </c>
      <c r="L449" s="10" t="s">
        <v>1905</v>
      </c>
      <c r="M449" s="11" t="s">
        <v>94</v>
      </c>
    </row>
    <row r="450" customFormat="false" ht="23.85" hidden="false" customHeight="false" outlineLevel="0" collapsed="false">
      <c r="A450" s="10" t="s">
        <v>1906</v>
      </c>
      <c r="B450" s="10" t="s">
        <v>1877</v>
      </c>
      <c r="C450" s="10" t="s">
        <v>1907</v>
      </c>
      <c r="D450" s="10" t="s">
        <v>1908</v>
      </c>
      <c r="E450" s="10" t="s">
        <v>1909</v>
      </c>
      <c r="F450" s="11" t="s">
        <v>99</v>
      </c>
      <c r="G450" s="11" t="n">
        <v>4</v>
      </c>
      <c r="H450" s="11" t="s">
        <v>89</v>
      </c>
      <c r="I450" s="11" t="s">
        <v>106</v>
      </c>
      <c r="J450" s="11" t="s">
        <v>91</v>
      </c>
      <c r="K450" s="10" t="s">
        <v>1890</v>
      </c>
      <c r="L450" s="10" t="s">
        <v>1881</v>
      </c>
      <c r="M450" s="11" t="s">
        <v>94</v>
      </c>
    </row>
    <row r="451" customFormat="false" ht="23.85" hidden="false" customHeight="false" outlineLevel="0" collapsed="false">
      <c r="A451" s="10" t="s">
        <v>1910</v>
      </c>
      <c r="B451" s="10" t="s">
        <v>1877</v>
      </c>
      <c r="C451" s="10" t="s">
        <v>1911</v>
      </c>
      <c r="D451" s="10" t="s">
        <v>1912</v>
      </c>
      <c r="E451" s="10" t="s">
        <v>1913</v>
      </c>
      <c r="F451" s="11" t="s">
        <v>105</v>
      </c>
      <c r="G451" s="11" t="n">
        <v>4</v>
      </c>
      <c r="H451" s="11" t="s">
        <v>100</v>
      </c>
      <c r="I451" s="11" t="s">
        <v>106</v>
      </c>
      <c r="J451" s="11" t="s">
        <v>91</v>
      </c>
      <c r="K451" s="10" t="s">
        <v>1914</v>
      </c>
      <c r="L451" s="10" t="s">
        <v>1881</v>
      </c>
      <c r="M451" s="11" t="s">
        <v>94</v>
      </c>
    </row>
    <row r="452" customFormat="false" ht="23.85" hidden="false" customHeight="false" outlineLevel="0" collapsed="false">
      <c r="A452" s="10" t="s">
        <v>1915</v>
      </c>
      <c r="B452" s="10" t="s">
        <v>1877</v>
      </c>
      <c r="C452" s="10" t="s">
        <v>1916</v>
      </c>
      <c r="D452" s="10" t="s">
        <v>1917</v>
      </c>
      <c r="E452" s="10" t="s">
        <v>1913</v>
      </c>
      <c r="F452" s="11" t="s">
        <v>105</v>
      </c>
      <c r="G452" s="11" t="n">
        <v>3</v>
      </c>
      <c r="H452" s="11" t="s">
        <v>100</v>
      </c>
      <c r="I452" s="11" t="s">
        <v>144</v>
      </c>
      <c r="J452" s="11" t="s">
        <v>91</v>
      </c>
      <c r="K452" s="10" t="s">
        <v>1914</v>
      </c>
      <c r="L452" s="10" t="s">
        <v>1881</v>
      </c>
      <c r="M452" s="11" t="s">
        <v>94</v>
      </c>
    </row>
    <row r="453" customFormat="false" ht="23.85" hidden="false" customHeight="false" outlineLevel="0" collapsed="false">
      <c r="A453" s="10" t="s">
        <v>1918</v>
      </c>
      <c r="B453" s="10" t="s">
        <v>1877</v>
      </c>
      <c r="C453" s="10" t="s">
        <v>1919</v>
      </c>
      <c r="D453" s="10" t="s">
        <v>1920</v>
      </c>
      <c r="E453" s="10" t="s">
        <v>1921</v>
      </c>
      <c r="F453" s="11" t="s">
        <v>105</v>
      </c>
      <c r="G453" s="11" t="n">
        <v>4</v>
      </c>
      <c r="H453" s="11" t="s">
        <v>100</v>
      </c>
      <c r="I453" s="11" t="s">
        <v>106</v>
      </c>
      <c r="J453" s="11" t="s">
        <v>91</v>
      </c>
      <c r="K453" s="10" t="s">
        <v>357</v>
      </c>
      <c r="L453" s="10" t="s">
        <v>1881</v>
      </c>
      <c r="M453" s="11" t="s">
        <v>94</v>
      </c>
    </row>
    <row r="454" customFormat="false" ht="23.85" hidden="false" customHeight="false" outlineLevel="0" collapsed="false">
      <c r="A454" s="10" t="s">
        <v>1922</v>
      </c>
      <c r="B454" s="10" t="s">
        <v>1877</v>
      </c>
      <c r="C454" s="10" t="s">
        <v>1923</v>
      </c>
      <c r="D454" s="10" t="s">
        <v>1924</v>
      </c>
      <c r="E454" s="10" t="s">
        <v>403</v>
      </c>
      <c r="F454" s="11" t="s">
        <v>105</v>
      </c>
      <c r="G454" s="11" t="n">
        <v>3</v>
      </c>
      <c r="H454" s="11" t="s">
        <v>100</v>
      </c>
      <c r="I454" s="11" t="s">
        <v>144</v>
      </c>
      <c r="J454" s="11" t="s">
        <v>91</v>
      </c>
      <c r="K454" s="10" t="s">
        <v>357</v>
      </c>
      <c r="L454" s="10" t="s">
        <v>1881</v>
      </c>
      <c r="M454" s="11" t="s">
        <v>94</v>
      </c>
    </row>
    <row r="455" customFormat="false" ht="23.85" hidden="false" customHeight="false" outlineLevel="0" collapsed="false">
      <c r="A455" s="10" t="s">
        <v>1925</v>
      </c>
      <c r="B455" s="10" t="s">
        <v>1877</v>
      </c>
      <c r="C455" s="10" t="s">
        <v>1926</v>
      </c>
      <c r="D455" s="10" t="s">
        <v>1927</v>
      </c>
      <c r="E455" s="10" t="s">
        <v>403</v>
      </c>
      <c r="F455" s="11" t="s">
        <v>105</v>
      </c>
      <c r="G455" s="11" t="n">
        <v>3</v>
      </c>
      <c r="H455" s="11" t="s">
        <v>100</v>
      </c>
      <c r="I455" s="11" t="s">
        <v>106</v>
      </c>
      <c r="J455" s="11" t="s">
        <v>91</v>
      </c>
      <c r="K455" s="10" t="s">
        <v>1928</v>
      </c>
      <c r="L455" s="10" t="s">
        <v>1881</v>
      </c>
      <c r="M455" s="11" t="s">
        <v>94</v>
      </c>
    </row>
    <row r="456" customFormat="false" ht="23.85" hidden="false" customHeight="false" outlineLevel="0" collapsed="false">
      <c r="A456" s="10" t="s">
        <v>1929</v>
      </c>
      <c r="B456" s="10" t="s">
        <v>1877</v>
      </c>
      <c r="C456" s="10" t="s">
        <v>1930</v>
      </c>
      <c r="D456" s="10" t="s">
        <v>1931</v>
      </c>
      <c r="E456" s="10" t="s">
        <v>403</v>
      </c>
      <c r="F456" s="11" t="s">
        <v>105</v>
      </c>
      <c r="G456" s="11" t="n">
        <v>3</v>
      </c>
      <c r="H456" s="11" t="s">
        <v>100</v>
      </c>
      <c r="I456" s="11" t="s">
        <v>106</v>
      </c>
      <c r="J456" s="11" t="s">
        <v>91</v>
      </c>
      <c r="K456" s="10" t="s">
        <v>1932</v>
      </c>
      <c r="L456" s="10" t="s">
        <v>1905</v>
      </c>
      <c r="M456" s="11" t="s">
        <v>94</v>
      </c>
    </row>
    <row r="457" customFormat="false" ht="23.85" hidden="false" customHeight="false" outlineLevel="0" collapsed="false">
      <c r="A457" s="10" t="s">
        <v>1933</v>
      </c>
      <c r="B457" s="10" t="s">
        <v>1877</v>
      </c>
      <c r="C457" s="10" t="s">
        <v>1934</v>
      </c>
      <c r="D457" s="10" t="s">
        <v>1935</v>
      </c>
      <c r="E457" s="10" t="s">
        <v>1936</v>
      </c>
      <c r="F457" s="11" t="s">
        <v>99</v>
      </c>
      <c r="G457" s="11" t="n">
        <v>4</v>
      </c>
      <c r="H457" s="11" t="s">
        <v>89</v>
      </c>
      <c r="I457" s="11" t="s">
        <v>106</v>
      </c>
      <c r="J457" s="11" t="s">
        <v>91</v>
      </c>
      <c r="K457" s="10" t="s">
        <v>1928</v>
      </c>
      <c r="L457" s="10" t="s">
        <v>1905</v>
      </c>
      <c r="M457" s="11" t="s">
        <v>94</v>
      </c>
    </row>
    <row r="458" customFormat="false" ht="23.85" hidden="false" customHeight="false" outlineLevel="0" collapsed="false">
      <c r="A458" s="10" t="s">
        <v>1937</v>
      </c>
      <c r="B458" s="10" t="s">
        <v>1877</v>
      </c>
      <c r="C458" s="10" t="s">
        <v>1938</v>
      </c>
      <c r="D458" s="10" t="s">
        <v>1939</v>
      </c>
      <c r="E458" s="10" t="s">
        <v>403</v>
      </c>
      <c r="F458" s="11" t="s">
        <v>105</v>
      </c>
      <c r="G458" s="11" t="n">
        <v>3</v>
      </c>
      <c r="H458" s="11" t="s">
        <v>100</v>
      </c>
      <c r="I458" s="11" t="s">
        <v>144</v>
      </c>
      <c r="J458" s="11" t="s">
        <v>91</v>
      </c>
      <c r="K458" s="10" t="s">
        <v>293</v>
      </c>
      <c r="L458" s="10" t="s">
        <v>1881</v>
      </c>
      <c r="M458" s="11" t="s">
        <v>94</v>
      </c>
    </row>
    <row r="459" customFormat="false" ht="23.85" hidden="false" customHeight="false" outlineLevel="0" collapsed="false">
      <c r="A459" s="10" t="s">
        <v>1940</v>
      </c>
      <c r="B459" s="10" t="s">
        <v>1877</v>
      </c>
      <c r="C459" s="10" t="s">
        <v>1941</v>
      </c>
      <c r="D459" s="10" t="s">
        <v>1942</v>
      </c>
      <c r="E459" s="10" t="s">
        <v>403</v>
      </c>
      <c r="F459" s="11" t="s">
        <v>105</v>
      </c>
      <c r="G459" s="11" t="n">
        <v>3</v>
      </c>
      <c r="H459" s="11" t="s">
        <v>89</v>
      </c>
      <c r="I459" s="11" t="s">
        <v>144</v>
      </c>
      <c r="J459" s="11" t="s">
        <v>91</v>
      </c>
      <c r="K459" s="10" t="s">
        <v>357</v>
      </c>
      <c r="L459" s="10" t="s">
        <v>1881</v>
      </c>
      <c r="M459" s="11" t="s">
        <v>94</v>
      </c>
    </row>
    <row r="460" customFormat="false" ht="23.85" hidden="false" customHeight="false" outlineLevel="0" collapsed="false">
      <c r="A460" s="10" t="s">
        <v>1943</v>
      </c>
      <c r="B460" s="10" t="s">
        <v>1877</v>
      </c>
      <c r="C460" s="10" t="s">
        <v>1944</v>
      </c>
      <c r="D460" s="10" t="s">
        <v>1945</v>
      </c>
      <c r="E460" s="10" t="s">
        <v>403</v>
      </c>
      <c r="F460" s="11" t="s">
        <v>105</v>
      </c>
      <c r="G460" s="11" t="n">
        <v>2</v>
      </c>
      <c r="H460" s="11" t="s">
        <v>89</v>
      </c>
      <c r="I460" s="11" t="s">
        <v>144</v>
      </c>
      <c r="J460" s="11" t="s">
        <v>91</v>
      </c>
      <c r="K460" s="10" t="s">
        <v>217</v>
      </c>
      <c r="L460" s="10" t="s">
        <v>1881</v>
      </c>
      <c r="M460" s="11" t="s">
        <v>94</v>
      </c>
    </row>
    <row r="461" customFormat="false" ht="23.85" hidden="false" customHeight="false" outlineLevel="0" collapsed="false">
      <c r="A461" s="10" t="s">
        <v>1946</v>
      </c>
      <c r="B461" s="10" t="s">
        <v>1877</v>
      </c>
      <c r="C461" s="10" t="s">
        <v>1947</v>
      </c>
      <c r="D461" s="10" t="s">
        <v>1948</v>
      </c>
      <c r="E461" s="10" t="s">
        <v>403</v>
      </c>
      <c r="F461" s="11" t="s">
        <v>105</v>
      </c>
      <c r="G461" s="11" t="n">
        <v>4</v>
      </c>
      <c r="H461" s="11" t="s">
        <v>89</v>
      </c>
      <c r="I461" s="11" t="s">
        <v>144</v>
      </c>
      <c r="J461" s="11" t="s">
        <v>91</v>
      </c>
      <c r="K461" s="10" t="s">
        <v>540</v>
      </c>
      <c r="L461" s="10" t="s">
        <v>1881</v>
      </c>
      <c r="M461" s="11" t="s">
        <v>94</v>
      </c>
    </row>
  </sheetData>
  <autoFilter ref="A1:M461"/>
  <conditionalFormatting sqref="I2:I1000">
    <cfRule type="expression" priority="2" aboveAverage="0" equalAverage="0" bottom="0" percent="0" rank="0" text="" dxfId="11">
      <formula>$I2="Proto"</formula>
    </cfRule>
    <cfRule type="expression" priority="3" aboveAverage="0" equalAverage="0" bottom="0" percent="0" rank="0" text="" dxfId="12">
      <formula>$I2="MVP"</formula>
    </cfRule>
    <cfRule type="expression" priority="4" aboveAverage="0" equalAverage="0" bottom="0" percent="0" rank="0" text="" dxfId="13">
      <formula>$I2="Launch"</formula>
    </cfRule>
    <cfRule type="expression" priority="5" aboveAverage="0" equalAverage="0" bottom="0" percent="0" rank="0" text="" dxfId="14">
      <formula>$I2="LiveOps"</formula>
    </cfRule>
  </conditionalFormatting>
  <conditionalFormatting sqref="J2:J1000">
    <cfRule type="expression" priority="6" aboveAverage="0" equalAverage="0" bottom="0" percent="0" rank="0" text="" dxfId="12">
      <formula>$J2="Free"</formula>
    </cfRule>
    <cfRule type="expression" priority="7" aboveAverage="0" equalAverage="0" bottom="0" percent="0" rank="0" text="" dxfId="15">
      <formula>$J2="Plus"</formula>
    </cfRule>
    <cfRule type="expression" priority="8" aboveAverage="0" equalAverage="0" bottom="0" percent="0" rank="0" text="" dxfId="16">
      <formula>$J2="Pack"</formula>
    </cfRule>
    <cfRule type="expression" priority="9" aboveAverage="0" equalAverage="0" bottom="0" percent="0" rank="0" text="" dxfId="17">
      <formula>$J2="Season"</formula>
    </cfRule>
    <cfRule type="expression" priority="10" aboveAverage="0" equalAverage="0" bottom="0" percent="0" rank="0" text="" dxfId="18">
      <formula>$J2="Ad"</formula>
    </cfRule>
  </conditionalFormatting>
  <conditionalFormatting sqref="M2:M1000">
    <cfRule type="expression" priority="11" aboveAverage="0" equalAverage="0" bottom="0" percent="0" rank="0" text="" dxfId="19">
      <formula>AND($M2="Yes",OR($J2="Plus",$J2="Pack"))</formula>
    </cfRule>
  </conditionalFormatting>
  <dataValidations count="7">
    <dataValidation allowBlank="false" error="Pick a value from the list (see Read Me legend)." errorStyle="stop" errorTitle="Invalid value" operator="between" prompt="Module (list lives on Summary A6:A29)" showDropDown="false" showErrorMessage="true" showInputMessage="false" sqref="B2:B1000" type="list">
      <formula1>Summary!$A$6:$A$29</formula1>
      <formula2>0</formula2>
    </dataValidation>
    <dataValidation allowBlank="false" error="Pick a value from the list (see Read Me legend)." errorStyle="stop" errorTitle="Invalid value" operator="between" prompt="Parity / Improved / New" showDropDown="false" showErrorMessage="true" showInputMessage="false" sqref="F2:F1000" type="list">
      <formula1>"Parity,Improved,New"</formula1>
      <formula2>0</formula2>
    </dataValidation>
    <dataValidation allowBlank="false" error="Pick a value from the list (see Read Me legend)." errorStyle="stop" errorTitle="Invalid value" operator="between" prompt="Effort S/M/L/XL" showDropDown="false" showErrorMessage="true" showInputMessage="false" sqref="H2:H1000" type="list">
      <formula1>"S,M,L,XL"</formula1>
      <formula2>0</formula2>
    </dataValidation>
    <dataValidation allowBlank="false" error="Pick a value from the list (see Read Me legend)." errorStyle="stop" errorTitle="Invalid value" operator="between" prompt="Priority" showDropDown="false" showErrorMessage="true" showInputMessage="false" sqref="I2:I1000" type="list">
      <formula1>"Proto,MVP,Launch,LiveOps"</formula1>
      <formula2>0</formula2>
    </dataValidation>
    <dataValidation allowBlank="false" error="Pick a value from the list (see Read Me legend)." errorStyle="stop" errorTitle="Invalid value" operator="between" prompt="Access" showDropDown="false" showErrorMessage="true" showInputMessage="false" sqref="J2:J1000" type="list">
      <formula1>"Free,Plus,Pack,Season,Ad"</formula1>
      <formula2>0</formula2>
    </dataValidation>
    <dataValidation allowBlank="false" error="Pick a value from the list (see Read Me legend)." errorStyle="stop" errorTitle="Invalid value" operator="between" prompt="Yes = a career or core system (must be Free)" showDropDown="false" showErrorMessage="true" showInputMessage="false" sqref="M2:M1000" type="list">
      <formula1>"Yes,No"</formula1>
      <formula2>0</formula2>
    </dataValidation>
    <dataValidation allowBlank="false" error="Whole number 1-5" errorStyle="stop" operator="between" showDropDown="false" showErrorMessage="true" showInputMessage="false" sqref="G2:G10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2" t="s">
        <v>1949</v>
      </c>
    </row>
    <row r="2" customFormat="false" ht="15" hidden="false" customHeight="false" outlineLevel="0" collapsed="false">
      <c r="A2" s="13" t="s">
        <v>1950</v>
      </c>
    </row>
    <row r="4" customFormat="false" ht="15" hidden="false" customHeight="false" outlineLevel="0" collapsed="false">
      <c r="A4" s="6" t="s">
        <v>1951</v>
      </c>
    </row>
    <row r="5" customFormat="false" ht="39.55" hidden="false" customHeight="false" outlineLevel="0" collapsed="false">
      <c r="A5" s="9" t="s">
        <v>25</v>
      </c>
      <c r="B5" s="9" t="s">
        <v>90</v>
      </c>
      <c r="C5" s="9" t="s">
        <v>106</v>
      </c>
      <c r="D5" s="9" t="s">
        <v>144</v>
      </c>
      <c r="E5" s="9" t="s">
        <v>172</v>
      </c>
      <c r="F5" s="9" t="s">
        <v>1952</v>
      </c>
      <c r="G5" s="9" t="s">
        <v>1953</v>
      </c>
      <c r="H5" s="9" t="s">
        <v>91</v>
      </c>
      <c r="I5" s="9" t="s">
        <v>1954</v>
      </c>
      <c r="J5" s="9" t="s">
        <v>320</v>
      </c>
    </row>
    <row r="6" customFormat="false" ht="15" hidden="false" customHeight="false" outlineLevel="0" collapsed="false">
      <c r="A6" s="14" t="s">
        <v>84</v>
      </c>
      <c r="B6" s="15" t="n">
        <f aca="false">COUNTIFS('Feature Matrix'!$B$2:$B$1000,$A6,'Feature Matrix'!$I$2:$I$1000,B$5)</f>
        <v>2</v>
      </c>
      <c r="C6" s="15" t="n">
        <f aca="false">COUNTIFS('Feature Matrix'!$B$2:$B$1000,$A6,'Feature Matrix'!$I$2:$I$1000,C$5)</f>
        <v>11</v>
      </c>
      <c r="D6" s="15" t="n">
        <f aca="false">COUNTIFS('Feature Matrix'!$B$2:$B$1000,$A6,'Feature Matrix'!$I$2:$I$1000,D$5)</f>
        <v>2</v>
      </c>
      <c r="E6" s="15" t="n">
        <f aca="false">COUNTIFS('Feature Matrix'!$B$2:$B$1000,$A6,'Feature Matrix'!$I$2:$I$1000,E$5)</f>
        <v>2</v>
      </c>
      <c r="F6" s="15" t="n">
        <f aca="false">SUM(B6:E6)</f>
        <v>17</v>
      </c>
      <c r="G6" s="16" t="n">
        <f aca="false">IFERROR(AVERAGEIFS('Feature Matrix'!$G$2:$G$1000,'Feature Matrix'!$B$2:$B$1000,$A6),0)</f>
        <v>3.29411764705882</v>
      </c>
      <c r="H6" s="15" t="n">
        <f aca="false">COUNTIFS('Feature Matrix'!$B$2:$B$1000,$A6,'Feature Matrix'!$J$2:$J$1000,"Free")</f>
        <v>14</v>
      </c>
      <c r="I6" s="15" t="n">
        <f aca="false">COUNTIFS('Feature Matrix'!$B$2:$B$1000,$A6,'Feature Matrix'!$J$2:$J$1000,"Plus")+COUNTIFS('Feature Matrix'!$B$2:$B$1000,$A6,'Feature Matrix'!$J$2:$J$1000,"Pack")+COUNTIFS('Feature Matrix'!$B$2:$B$1000,$A6,'Feature Matrix'!$J$2:$J$1000,"Season")</f>
        <v>3</v>
      </c>
      <c r="J6" s="15" t="n">
        <f aca="false">COUNTIFS('Feature Matrix'!$B$2:$B$1000,$A6,'Feature Matrix'!$J$2:$J$1000,"Ad")</f>
        <v>0</v>
      </c>
    </row>
    <row r="7" customFormat="false" ht="15" hidden="false" customHeight="false" outlineLevel="0" collapsed="false">
      <c r="A7" s="14" t="s">
        <v>179</v>
      </c>
      <c r="B7" s="15" t="n">
        <f aca="false">COUNTIFS('Feature Matrix'!$B$2:$B$1000,$A7,'Feature Matrix'!$I$2:$I$1000,B$5)</f>
        <v>3</v>
      </c>
      <c r="C7" s="15" t="n">
        <f aca="false">COUNTIFS('Feature Matrix'!$B$2:$B$1000,$A7,'Feature Matrix'!$I$2:$I$1000,C$5)</f>
        <v>6</v>
      </c>
      <c r="D7" s="15" t="n">
        <f aca="false">COUNTIFS('Feature Matrix'!$B$2:$B$1000,$A7,'Feature Matrix'!$I$2:$I$1000,D$5)</f>
        <v>2</v>
      </c>
      <c r="E7" s="15" t="n">
        <f aca="false">COUNTIFS('Feature Matrix'!$B$2:$B$1000,$A7,'Feature Matrix'!$I$2:$I$1000,E$5)</f>
        <v>0</v>
      </c>
      <c r="F7" s="15" t="n">
        <f aca="false">SUM(B7:E7)</f>
        <v>11</v>
      </c>
      <c r="G7" s="16" t="n">
        <f aca="false">IFERROR(AVERAGEIFS('Feature Matrix'!$G$2:$G$1000,'Feature Matrix'!$B$2:$B$1000,$A7),0)</f>
        <v>3.45454545454545</v>
      </c>
      <c r="H7" s="15" t="n">
        <f aca="false">COUNTIFS('Feature Matrix'!$B$2:$B$1000,$A7,'Feature Matrix'!$J$2:$J$1000,"Free")</f>
        <v>10</v>
      </c>
      <c r="I7" s="15" t="n">
        <f aca="false">COUNTIFS('Feature Matrix'!$B$2:$B$1000,$A7,'Feature Matrix'!$J$2:$J$1000,"Plus")+COUNTIFS('Feature Matrix'!$B$2:$B$1000,$A7,'Feature Matrix'!$J$2:$J$1000,"Pack")+COUNTIFS('Feature Matrix'!$B$2:$B$1000,$A7,'Feature Matrix'!$J$2:$J$1000,"Season")</f>
        <v>1</v>
      </c>
      <c r="J7" s="15" t="n">
        <f aca="false">COUNTIFS('Feature Matrix'!$B$2:$B$1000,$A7,'Feature Matrix'!$J$2:$J$1000,"Ad")</f>
        <v>0</v>
      </c>
    </row>
    <row r="8" customFormat="false" ht="15" hidden="false" customHeight="false" outlineLevel="0" collapsed="false">
      <c r="A8" s="14" t="s">
        <v>227</v>
      </c>
      <c r="B8" s="15" t="n">
        <f aca="false">COUNTIFS('Feature Matrix'!$B$2:$B$1000,$A8,'Feature Matrix'!$I$2:$I$1000,B$5)</f>
        <v>10</v>
      </c>
      <c r="C8" s="15" t="n">
        <f aca="false">COUNTIFS('Feature Matrix'!$B$2:$B$1000,$A8,'Feature Matrix'!$I$2:$I$1000,C$5)</f>
        <v>11</v>
      </c>
      <c r="D8" s="15" t="n">
        <f aca="false">COUNTIFS('Feature Matrix'!$B$2:$B$1000,$A8,'Feature Matrix'!$I$2:$I$1000,D$5)</f>
        <v>2</v>
      </c>
      <c r="E8" s="15" t="n">
        <f aca="false">COUNTIFS('Feature Matrix'!$B$2:$B$1000,$A8,'Feature Matrix'!$I$2:$I$1000,E$5)</f>
        <v>0</v>
      </c>
      <c r="F8" s="15" t="n">
        <f aca="false">SUM(B8:E8)</f>
        <v>23</v>
      </c>
      <c r="G8" s="16" t="n">
        <f aca="false">IFERROR(AVERAGEIFS('Feature Matrix'!$G$2:$G$1000,'Feature Matrix'!$B$2:$B$1000,$A8),0)</f>
        <v>3.95652173913043</v>
      </c>
      <c r="H8" s="15" t="n">
        <f aca="false">COUNTIFS('Feature Matrix'!$B$2:$B$1000,$A8,'Feature Matrix'!$J$2:$J$1000,"Free")</f>
        <v>21</v>
      </c>
      <c r="I8" s="15" t="n">
        <f aca="false">COUNTIFS('Feature Matrix'!$B$2:$B$1000,$A8,'Feature Matrix'!$J$2:$J$1000,"Plus")+COUNTIFS('Feature Matrix'!$B$2:$B$1000,$A8,'Feature Matrix'!$J$2:$J$1000,"Pack")+COUNTIFS('Feature Matrix'!$B$2:$B$1000,$A8,'Feature Matrix'!$J$2:$J$1000,"Season")</f>
        <v>1</v>
      </c>
      <c r="J8" s="15" t="n">
        <f aca="false">COUNTIFS('Feature Matrix'!$B$2:$B$1000,$A8,'Feature Matrix'!$J$2:$J$1000,"Ad")</f>
        <v>1</v>
      </c>
    </row>
    <row r="9" customFormat="false" ht="15" hidden="false" customHeight="false" outlineLevel="0" collapsed="false">
      <c r="A9" s="14" t="s">
        <v>327</v>
      </c>
      <c r="B9" s="15" t="n">
        <f aca="false">COUNTIFS('Feature Matrix'!$B$2:$B$1000,$A9,'Feature Matrix'!$I$2:$I$1000,B$5)</f>
        <v>8</v>
      </c>
      <c r="C9" s="15" t="n">
        <f aca="false">COUNTIFS('Feature Matrix'!$B$2:$B$1000,$A9,'Feature Matrix'!$I$2:$I$1000,C$5)</f>
        <v>15</v>
      </c>
      <c r="D9" s="15" t="n">
        <f aca="false">COUNTIFS('Feature Matrix'!$B$2:$B$1000,$A9,'Feature Matrix'!$I$2:$I$1000,D$5)</f>
        <v>5</v>
      </c>
      <c r="E9" s="15" t="n">
        <f aca="false">COUNTIFS('Feature Matrix'!$B$2:$B$1000,$A9,'Feature Matrix'!$I$2:$I$1000,E$5)</f>
        <v>1</v>
      </c>
      <c r="F9" s="15" t="n">
        <f aca="false">SUM(B9:E9)</f>
        <v>29</v>
      </c>
      <c r="G9" s="16" t="n">
        <f aca="false">IFERROR(AVERAGEIFS('Feature Matrix'!$G$2:$G$1000,'Feature Matrix'!$B$2:$B$1000,$A9),0)</f>
        <v>3.31034482758621</v>
      </c>
      <c r="H9" s="15" t="n">
        <f aca="false">COUNTIFS('Feature Matrix'!$B$2:$B$1000,$A9,'Feature Matrix'!$J$2:$J$1000,"Free")</f>
        <v>28</v>
      </c>
      <c r="I9" s="15" t="n">
        <f aca="false">COUNTIFS('Feature Matrix'!$B$2:$B$1000,$A9,'Feature Matrix'!$J$2:$J$1000,"Plus")+COUNTIFS('Feature Matrix'!$B$2:$B$1000,$A9,'Feature Matrix'!$J$2:$J$1000,"Pack")+COUNTIFS('Feature Matrix'!$B$2:$B$1000,$A9,'Feature Matrix'!$J$2:$J$1000,"Season")</f>
        <v>1</v>
      </c>
      <c r="J9" s="15" t="n">
        <f aca="false">COUNTIFS('Feature Matrix'!$B$2:$B$1000,$A9,'Feature Matrix'!$J$2:$J$1000,"Ad")</f>
        <v>0</v>
      </c>
    </row>
    <row r="10" customFormat="false" ht="15" hidden="false" customHeight="false" outlineLevel="0" collapsed="false">
      <c r="A10" s="14" t="s">
        <v>442</v>
      </c>
      <c r="B10" s="15" t="n">
        <f aca="false">COUNTIFS('Feature Matrix'!$B$2:$B$1000,$A10,'Feature Matrix'!$I$2:$I$1000,B$5)</f>
        <v>5</v>
      </c>
      <c r="C10" s="15" t="n">
        <f aca="false">COUNTIFS('Feature Matrix'!$B$2:$B$1000,$A10,'Feature Matrix'!$I$2:$I$1000,C$5)</f>
        <v>23</v>
      </c>
      <c r="D10" s="15" t="n">
        <f aca="false">COUNTIFS('Feature Matrix'!$B$2:$B$1000,$A10,'Feature Matrix'!$I$2:$I$1000,D$5)</f>
        <v>18</v>
      </c>
      <c r="E10" s="15" t="n">
        <f aca="false">COUNTIFS('Feature Matrix'!$B$2:$B$1000,$A10,'Feature Matrix'!$I$2:$I$1000,E$5)</f>
        <v>1</v>
      </c>
      <c r="F10" s="15" t="n">
        <f aca="false">SUM(B10:E10)</f>
        <v>47</v>
      </c>
      <c r="G10" s="16" t="n">
        <f aca="false">IFERROR(AVERAGEIFS('Feature Matrix'!$G$2:$G$1000,'Feature Matrix'!$B$2:$B$1000,$A10),0)</f>
        <v>3.27659574468085</v>
      </c>
      <c r="H10" s="15" t="n">
        <f aca="false">COUNTIFS('Feature Matrix'!$B$2:$B$1000,$A10,'Feature Matrix'!$J$2:$J$1000,"Free")</f>
        <v>46</v>
      </c>
      <c r="I10" s="15" t="n">
        <f aca="false">COUNTIFS('Feature Matrix'!$B$2:$B$1000,$A10,'Feature Matrix'!$J$2:$J$1000,"Plus")+COUNTIFS('Feature Matrix'!$B$2:$B$1000,$A10,'Feature Matrix'!$J$2:$J$1000,"Pack")+COUNTIFS('Feature Matrix'!$B$2:$B$1000,$A10,'Feature Matrix'!$J$2:$J$1000,"Season")</f>
        <v>1</v>
      </c>
      <c r="J10" s="15" t="n">
        <f aca="false">COUNTIFS('Feature Matrix'!$B$2:$B$1000,$A10,'Feature Matrix'!$J$2:$J$1000,"Ad")</f>
        <v>0</v>
      </c>
    </row>
    <row r="11" customFormat="false" ht="15" hidden="false" customHeight="false" outlineLevel="0" collapsed="false">
      <c r="A11" s="14" t="s">
        <v>632</v>
      </c>
      <c r="B11" s="15" t="n">
        <f aca="false">COUNTIFS('Feature Matrix'!$B$2:$B$1000,$A11,'Feature Matrix'!$I$2:$I$1000,B$5)</f>
        <v>3</v>
      </c>
      <c r="C11" s="15" t="n">
        <f aca="false">COUNTIFS('Feature Matrix'!$B$2:$B$1000,$A11,'Feature Matrix'!$I$2:$I$1000,C$5)</f>
        <v>14</v>
      </c>
      <c r="D11" s="15" t="n">
        <f aca="false">COUNTIFS('Feature Matrix'!$B$2:$B$1000,$A11,'Feature Matrix'!$I$2:$I$1000,D$5)</f>
        <v>10</v>
      </c>
      <c r="E11" s="15" t="n">
        <f aca="false">COUNTIFS('Feature Matrix'!$B$2:$B$1000,$A11,'Feature Matrix'!$I$2:$I$1000,E$5)</f>
        <v>1</v>
      </c>
      <c r="F11" s="15" t="n">
        <f aca="false">SUM(B11:E11)</f>
        <v>28</v>
      </c>
      <c r="G11" s="16" t="n">
        <f aca="false">IFERROR(AVERAGEIFS('Feature Matrix'!$G$2:$G$1000,'Feature Matrix'!$B$2:$B$1000,$A11),0)</f>
        <v>3.25</v>
      </c>
      <c r="H11" s="15" t="n">
        <f aca="false">COUNTIFS('Feature Matrix'!$B$2:$B$1000,$A11,'Feature Matrix'!$J$2:$J$1000,"Free")</f>
        <v>26</v>
      </c>
      <c r="I11" s="15" t="n">
        <f aca="false">COUNTIFS('Feature Matrix'!$B$2:$B$1000,$A11,'Feature Matrix'!$J$2:$J$1000,"Plus")+COUNTIFS('Feature Matrix'!$B$2:$B$1000,$A11,'Feature Matrix'!$J$2:$J$1000,"Pack")+COUNTIFS('Feature Matrix'!$B$2:$B$1000,$A11,'Feature Matrix'!$J$2:$J$1000,"Season")</f>
        <v>1</v>
      </c>
      <c r="J11" s="15" t="n">
        <f aca="false">COUNTIFS('Feature Matrix'!$B$2:$B$1000,$A11,'Feature Matrix'!$J$2:$J$1000,"Ad")</f>
        <v>1</v>
      </c>
    </row>
    <row r="12" customFormat="false" ht="15" hidden="false" customHeight="false" outlineLevel="0" collapsed="false">
      <c r="A12" s="14" t="s">
        <v>742</v>
      </c>
      <c r="B12" s="15" t="n">
        <f aca="false">COUNTIFS('Feature Matrix'!$B$2:$B$1000,$A12,'Feature Matrix'!$I$2:$I$1000,B$5)</f>
        <v>0</v>
      </c>
      <c r="C12" s="15" t="n">
        <f aca="false">COUNTIFS('Feature Matrix'!$B$2:$B$1000,$A12,'Feature Matrix'!$I$2:$I$1000,C$5)</f>
        <v>10</v>
      </c>
      <c r="D12" s="15" t="n">
        <f aca="false">COUNTIFS('Feature Matrix'!$B$2:$B$1000,$A12,'Feature Matrix'!$I$2:$I$1000,D$5)</f>
        <v>12</v>
      </c>
      <c r="E12" s="15" t="n">
        <f aca="false">COUNTIFS('Feature Matrix'!$B$2:$B$1000,$A12,'Feature Matrix'!$I$2:$I$1000,E$5)</f>
        <v>0</v>
      </c>
      <c r="F12" s="15" t="n">
        <f aca="false">SUM(B12:E12)</f>
        <v>22</v>
      </c>
      <c r="G12" s="16" t="n">
        <f aca="false">IFERROR(AVERAGEIFS('Feature Matrix'!$G$2:$G$1000,'Feature Matrix'!$B$2:$B$1000,$A12),0)</f>
        <v>3.22727272727273</v>
      </c>
      <c r="H12" s="15" t="n">
        <f aca="false">COUNTIFS('Feature Matrix'!$B$2:$B$1000,$A12,'Feature Matrix'!$J$2:$J$1000,"Free")</f>
        <v>21</v>
      </c>
      <c r="I12" s="15" t="n">
        <f aca="false">COUNTIFS('Feature Matrix'!$B$2:$B$1000,$A12,'Feature Matrix'!$J$2:$J$1000,"Plus")+COUNTIFS('Feature Matrix'!$B$2:$B$1000,$A12,'Feature Matrix'!$J$2:$J$1000,"Pack")+COUNTIFS('Feature Matrix'!$B$2:$B$1000,$A12,'Feature Matrix'!$J$2:$J$1000,"Season")</f>
        <v>1</v>
      </c>
      <c r="J12" s="15" t="n">
        <f aca="false">COUNTIFS('Feature Matrix'!$B$2:$B$1000,$A12,'Feature Matrix'!$J$2:$J$1000,"Ad")</f>
        <v>0</v>
      </c>
    </row>
    <row r="13" customFormat="false" ht="15" hidden="false" customHeight="false" outlineLevel="0" collapsed="false">
      <c r="A13" s="14" t="s">
        <v>833</v>
      </c>
      <c r="B13" s="15" t="n">
        <f aca="false">COUNTIFS('Feature Matrix'!$B$2:$B$1000,$A13,'Feature Matrix'!$I$2:$I$1000,B$5)</f>
        <v>0</v>
      </c>
      <c r="C13" s="15" t="n">
        <f aca="false">COUNTIFS('Feature Matrix'!$B$2:$B$1000,$A13,'Feature Matrix'!$I$2:$I$1000,C$5)</f>
        <v>13</v>
      </c>
      <c r="D13" s="15" t="n">
        <f aca="false">COUNTIFS('Feature Matrix'!$B$2:$B$1000,$A13,'Feature Matrix'!$I$2:$I$1000,D$5)</f>
        <v>11</v>
      </c>
      <c r="E13" s="15" t="n">
        <f aca="false">COUNTIFS('Feature Matrix'!$B$2:$B$1000,$A13,'Feature Matrix'!$I$2:$I$1000,E$5)</f>
        <v>1</v>
      </c>
      <c r="F13" s="15" t="n">
        <f aca="false">SUM(B13:E13)</f>
        <v>25</v>
      </c>
      <c r="G13" s="16" t="n">
        <f aca="false">IFERROR(AVERAGEIFS('Feature Matrix'!$G$2:$G$1000,'Feature Matrix'!$B$2:$B$1000,$A13),0)</f>
        <v>3.4</v>
      </c>
      <c r="H13" s="15" t="n">
        <f aca="false">COUNTIFS('Feature Matrix'!$B$2:$B$1000,$A13,'Feature Matrix'!$J$2:$J$1000,"Free")</f>
        <v>24</v>
      </c>
      <c r="I13" s="15" t="n">
        <f aca="false">COUNTIFS('Feature Matrix'!$B$2:$B$1000,$A13,'Feature Matrix'!$J$2:$J$1000,"Plus")+COUNTIFS('Feature Matrix'!$B$2:$B$1000,$A13,'Feature Matrix'!$J$2:$J$1000,"Pack")+COUNTIFS('Feature Matrix'!$B$2:$B$1000,$A13,'Feature Matrix'!$J$2:$J$1000,"Season")</f>
        <v>1</v>
      </c>
      <c r="J13" s="15" t="n">
        <f aca="false">COUNTIFS('Feature Matrix'!$B$2:$B$1000,$A13,'Feature Matrix'!$J$2:$J$1000,"Ad")</f>
        <v>0</v>
      </c>
    </row>
    <row r="14" customFormat="false" ht="15" hidden="false" customHeight="false" outlineLevel="0" collapsed="false">
      <c r="A14" s="14" t="s">
        <v>935</v>
      </c>
      <c r="B14" s="15" t="n">
        <f aca="false">COUNTIFS('Feature Matrix'!$B$2:$B$1000,$A14,'Feature Matrix'!$I$2:$I$1000,B$5)</f>
        <v>2</v>
      </c>
      <c r="C14" s="15" t="n">
        <f aca="false">COUNTIFS('Feature Matrix'!$B$2:$B$1000,$A14,'Feature Matrix'!$I$2:$I$1000,C$5)</f>
        <v>12</v>
      </c>
      <c r="D14" s="15" t="n">
        <f aca="false">COUNTIFS('Feature Matrix'!$B$2:$B$1000,$A14,'Feature Matrix'!$I$2:$I$1000,D$5)</f>
        <v>5</v>
      </c>
      <c r="E14" s="15" t="n">
        <f aca="false">COUNTIFS('Feature Matrix'!$B$2:$B$1000,$A14,'Feature Matrix'!$I$2:$I$1000,E$5)</f>
        <v>0</v>
      </c>
      <c r="F14" s="15" t="n">
        <f aca="false">SUM(B14:E14)</f>
        <v>19</v>
      </c>
      <c r="G14" s="16" t="n">
        <f aca="false">IFERROR(AVERAGEIFS('Feature Matrix'!$G$2:$G$1000,'Feature Matrix'!$B$2:$B$1000,$A14),0)</f>
        <v>3.47368421052632</v>
      </c>
      <c r="H14" s="15" t="n">
        <f aca="false">COUNTIFS('Feature Matrix'!$B$2:$B$1000,$A14,'Feature Matrix'!$J$2:$J$1000,"Free")</f>
        <v>18</v>
      </c>
      <c r="I14" s="15" t="n">
        <f aca="false">COUNTIFS('Feature Matrix'!$B$2:$B$1000,$A14,'Feature Matrix'!$J$2:$J$1000,"Plus")+COUNTIFS('Feature Matrix'!$B$2:$B$1000,$A14,'Feature Matrix'!$J$2:$J$1000,"Pack")+COUNTIFS('Feature Matrix'!$B$2:$B$1000,$A14,'Feature Matrix'!$J$2:$J$1000,"Season")</f>
        <v>1</v>
      </c>
      <c r="J14" s="15" t="n">
        <f aca="false">COUNTIFS('Feature Matrix'!$B$2:$B$1000,$A14,'Feature Matrix'!$J$2:$J$1000,"Ad")</f>
        <v>0</v>
      </c>
    </row>
    <row r="15" customFormat="false" ht="15" hidden="false" customHeight="false" outlineLevel="0" collapsed="false">
      <c r="A15" s="14" t="s">
        <v>1016</v>
      </c>
      <c r="B15" s="15" t="n">
        <f aca="false">COUNTIFS('Feature Matrix'!$B$2:$B$1000,$A15,'Feature Matrix'!$I$2:$I$1000,B$5)</f>
        <v>0</v>
      </c>
      <c r="C15" s="15" t="n">
        <f aca="false">COUNTIFS('Feature Matrix'!$B$2:$B$1000,$A15,'Feature Matrix'!$I$2:$I$1000,C$5)</f>
        <v>3</v>
      </c>
      <c r="D15" s="15" t="n">
        <f aca="false">COUNTIFS('Feature Matrix'!$B$2:$B$1000,$A15,'Feature Matrix'!$I$2:$I$1000,D$5)</f>
        <v>10</v>
      </c>
      <c r="E15" s="15" t="n">
        <f aca="false">COUNTIFS('Feature Matrix'!$B$2:$B$1000,$A15,'Feature Matrix'!$I$2:$I$1000,E$5)</f>
        <v>2</v>
      </c>
      <c r="F15" s="15" t="n">
        <f aca="false">SUM(B15:E15)</f>
        <v>15</v>
      </c>
      <c r="G15" s="16" t="n">
        <f aca="false">IFERROR(AVERAGEIFS('Feature Matrix'!$G$2:$G$1000,'Feature Matrix'!$B$2:$B$1000,$A15),0)</f>
        <v>3.4</v>
      </c>
      <c r="H15" s="15" t="n">
        <f aca="false">COUNTIFS('Feature Matrix'!$B$2:$B$1000,$A15,'Feature Matrix'!$J$2:$J$1000,"Free")</f>
        <v>14</v>
      </c>
      <c r="I15" s="15" t="n">
        <f aca="false">COUNTIFS('Feature Matrix'!$B$2:$B$1000,$A15,'Feature Matrix'!$J$2:$J$1000,"Plus")+COUNTIFS('Feature Matrix'!$B$2:$B$1000,$A15,'Feature Matrix'!$J$2:$J$1000,"Pack")+COUNTIFS('Feature Matrix'!$B$2:$B$1000,$A15,'Feature Matrix'!$J$2:$J$1000,"Season")</f>
        <v>1</v>
      </c>
      <c r="J15" s="15" t="n">
        <f aca="false">COUNTIFS('Feature Matrix'!$B$2:$B$1000,$A15,'Feature Matrix'!$J$2:$J$1000,"Ad")</f>
        <v>0</v>
      </c>
    </row>
    <row r="16" customFormat="false" ht="15" hidden="false" customHeight="false" outlineLevel="0" collapsed="false">
      <c r="A16" s="14" t="s">
        <v>1073</v>
      </c>
      <c r="B16" s="15" t="n">
        <f aca="false">COUNTIFS('Feature Matrix'!$B$2:$B$1000,$A16,'Feature Matrix'!$I$2:$I$1000,B$5)</f>
        <v>0</v>
      </c>
      <c r="C16" s="15" t="n">
        <f aca="false">COUNTIFS('Feature Matrix'!$B$2:$B$1000,$A16,'Feature Matrix'!$I$2:$I$1000,C$5)</f>
        <v>8</v>
      </c>
      <c r="D16" s="15" t="n">
        <f aca="false">COUNTIFS('Feature Matrix'!$B$2:$B$1000,$A16,'Feature Matrix'!$I$2:$I$1000,D$5)</f>
        <v>7</v>
      </c>
      <c r="E16" s="15" t="n">
        <f aca="false">COUNTIFS('Feature Matrix'!$B$2:$B$1000,$A16,'Feature Matrix'!$I$2:$I$1000,E$5)</f>
        <v>0</v>
      </c>
      <c r="F16" s="15" t="n">
        <f aca="false">SUM(B16:E16)</f>
        <v>15</v>
      </c>
      <c r="G16" s="16" t="n">
        <f aca="false">IFERROR(AVERAGEIFS('Feature Matrix'!$G$2:$G$1000,'Feature Matrix'!$B$2:$B$1000,$A16),0)</f>
        <v>3.8</v>
      </c>
      <c r="H16" s="15" t="n">
        <f aca="false">COUNTIFS('Feature Matrix'!$B$2:$B$1000,$A16,'Feature Matrix'!$J$2:$J$1000,"Free")</f>
        <v>15</v>
      </c>
      <c r="I16" s="15" t="n">
        <f aca="false">COUNTIFS('Feature Matrix'!$B$2:$B$1000,$A16,'Feature Matrix'!$J$2:$J$1000,"Plus")+COUNTIFS('Feature Matrix'!$B$2:$B$1000,$A16,'Feature Matrix'!$J$2:$J$1000,"Pack")+COUNTIFS('Feature Matrix'!$B$2:$B$1000,$A16,'Feature Matrix'!$J$2:$J$1000,"Season")</f>
        <v>0</v>
      </c>
      <c r="J16" s="15" t="n">
        <f aca="false">COUNTIFS('Feature Matrix'!$B$2:$B$1000,$A16,'Feature Matrix'!$J$2:$J$1000,"Ad")</f>
        <v>0</v>
      </c>
    </row>
    <row r="17" customFormat="false" ht="15" hidden="false" customHeight="false" outlineLevel="0" collapsed="false">
      <c r="A17" s="14" t="s">
        <v>1128</v>
      </c>
      <c r="B17" s="15" t="n">
        <f aca="false">COUNTIFS('Feature Matrix'!$B$2:$B$1000,$A17,'Feature Matrix'!$I$2:$I$1000,B$5)</f>
        <v>0</v>
      </c>
      <c r="C17" s="15" t="n">
        <f aca="false">COUNTIFS('Feature Matrix'!$B$2:$B$1000,$A17,'Feature Matrix'!$I$2:$I$1000,C$5)</f>
        <v>10</v>
      </c>
      <c r="D17" s="15" t="n">
        <f aca="false">COUNTIFS('Feature Matrix'!$B$2:$B$1000,$A17,'Feature Matrix'!$I$2:$I$1000,D$5)</f>
        <v>5</v>
      </c>
      <c r="E17" s="15" t="n">
        <f aca="false">COUNTIFS('Feature Matrix'!$B$2:$B$1000,$A17,'Feature Matrix'!$I$2:$I$1000,E$5)</f>
        <v>2</v>
      </c>
      <c r="F17" s="15" t="n">
        <f aca="false">SUM(B17:E17)</f>
        <v>17</v>
      </c>
      <c r="G17" s="16" t="n">
        <f aca="false">IFERROR(AVERAGEIFS('Feature Matrix'!$G$2:$G$1000,'Feature Matrix'!$B$2:$B$1000,$A17),0)</f>
        <v>3.23529411764706</v>
      </c>
      <c r="H17" s="15" t="n">
        <f aca="false">COUNTIFS('Feature Matrix'!$B$2:$B$1000,$A17,'Feature Matrix'!$J$2:$J$1000,"Free")</f>
        <v>15</v>
      </c>
      <c r="I17" s="15" t="n">
        <f aca="false">COUNTIFS('Feature Matrix'!$B$2:$B$1000,$A17,'Feature Matrix'!$J$2:$J$1000,"Plus")+COUNTIFS('Feature Matrix'!$B$2:$B$1000,$A17,'Feature Matrix'!$J$2:$J$1000,"Pack")+COUNTIFS('Feature Matrix'!$B$2:$B$1000,$A17,'Feature Matrix'!$J$2:$J$1000,"Season")</f>
        <v>2</v>
      </c>
      <c r="J17" s="15" t="n">
        <f aca="false">COUNTIFS('Feature Matrix'!$B$2:$B$1000,$A17,'Feature Matrix'!$J$2:$J$1000,"Ad")</f>
        <v>0</v>
      </c>
    </row>
    <row r="18" customFormat="false" ht="15" hidden="false" customHeight="false" outlineLevel="0" collapsed="false">
      <c r="A18" s="14" t="s">
        <v>1200</v>
      </c>
      <c r="B18" s="15" t="n">
        <f aca="false">COUNTIFS('Feature Matrix'!$B$2:$B$1000,$A18,'Feature Matrix'!$I$2:$I$1000,B$5)</f>
        <v>0</v>
      </c>
      <c r="C18" s="15" t="n">
        <f aca="false">COUNTIFS('Feature Matrix'!$B$2:$B$1000,$A18,'Feature Matrix'!$I$2:$I$1000,C$5)</f>
        <v>9</v>
      </c>
      <c r="D18" s="15" t="n">
        <f aca="false">COUNTIFS('Feature Matrix'!$B$2:$B$1000,$A18,'Feature Matrix'!$I$2:$I$1000,D$5)</f>
        <v>8</v>
      </c>
      <c r="E18" s="15" t="n">
        <f aca="false">COUNTIFS('Feature Matrix'!$B$2:$B$1000,$A18,'Feature Matrix'!$I$2:$I$1000,E$5)</f>
        <v>0</v>
      </c>
      <c r="F18" s="15" t="n">
        <f aca="false">SUM(B18:E18)</f>
        <v>17</v>
      </c>
      <c r="G18" s="16" t="n">
        <f aca="false">IFERROR(AVERAGEIFS('Feature Matrix'!$G$2:$G$1000,'Feature Matrix'!$B$2:$B$1000,$A18),0)</f>
        <v>3.41176470588235</v>
      </c>
      <c r="H18" s="15" t="n">
        <f aca="false">COUNTIFS('Feature Matrix'!$B$2:$B$1000,$A18,'Feature Matrix'!$J$2:$J$1000,"Free")</f>
        <v>17</v>
      </c>
      <c r="I18" s="15" t="n">
        <f aca="false">COUNTIFS('Feature Matrix'!$B$2:$B$1000,$A18,'Feature Matrix'!$J$2:$J$1000,"Plus")+COUNTIFS('Feature Matrix'!$B$2:$B$1000,$A18,'Feature Matrix'!$J$2:$J$1000,"Pack")+COUNTIFS('Feature Matrix'!$B$2:$B$1000,$A18,'Feature Matrix'!$J$2:$J$1000,"Season")</f>
        <v>0</v>
      </c>
      <c r="J18" s="15" t="n">
        <f aca="false">COUNTIFS('Feature Matrix'!$B$2:$B$1000,$A18,'Feature Matrix'!$J$2:$J$1000,"Ad")</f>
        <v>0</v>
      </c>
    </row>
    <row r="19" customFormat="false" ht="15" hidden="false" customHeight="false" outlineLevel="0" collapsed="false">
      <c r="A19" s="14" t="s">
        <v>1264</v>
      </c>
      <c r="B19" s="15" t="n">
        <f aca="false">COUNTIFS('Feature Matrix'!$B$2:$B$1000,$A19,'Feature Matrix'!$I$2:$I$1000,B$5)</f>
        <v>0</v>
      </c>
      <c r="C19" s="15" t="n">
        <f aca="false">COUNTIFS('Feature Matrix'!$B$2:$B$1000,$A19,'Feature Matrix'!$I$2:$I$1000,C$5)</f>
        <v>8</v>
      </c>
      <c r="D19" s="15" t="n">
        <f aca="false">COUNTIFS('Feature Matrix'!$B$2:$B$1000,$A19,'Feature Matrix'!$I$2:$I$1000,D$5)</f>
        <v>7</v>
      </c>
      <c r="E19" s="15" t="n">
        <f aca="false">COUNTIFS('Feature Matrix'!$B$2:$B$1000,$A19,'Feature Matrix'!$I$2:$I$1000,E$5)</f>
        <v>1</v>
      </c>
      <c r="F19" s="15" t="n">
        <f aca="false">SUM(B19:E19)</f>
        <v>16</v>
      </c>
      <c r="G19" s="16" t="n">
        <f aca="false">IFERROR(AVERAGEIFS('Feature Matrix'!$G$2:$G$1000,'Feature Matrix'!$B$2:$B$1000,$A19),0)</f>
        <v>3.4375</v>
      </c>
      <c r="H19" s="15" t="n">
        <f aca="false">COUNTIFS('Feature Matrix'!$B$2:$B$1000,$A19,'Feature Matrix'!$J$2:$J$1000,"Free")</f>
        <v>13</v>
      </c>
      <c r="I19" s="15" t="n">
        <f aca="false">COUNTIFS('Feature Matrix'!$B$2:$B$1000,$A19,'Feature Matrix'!$J$2:$J$1000,"Plus")+COUNTIFS('Feature Matrix'!$B$2:$B$1000,$A19,'Feature Matrix'!$J$2:$J$1000,"Pack")+COUNTIFS('Feature Matrix'!$B$2:$B$1000,$A19,'Feature Matrix'!$J$2:$J$1000,"Season")</f>
        <v>3</v>
      </c>
      <c r="J19" s="15" t="n">
        <f aca="false">COUNTIFS('Feature Matrix'!$B$2:$B$1000,$A19,'Feature Matrix'!$J$2:$J$1000,"Ad")</f>
        <v>0</v>
      </c>
    </row>
    <row r="20" customFormat="false" ht="15" hidden="false" customHeight="false" outlineLevel="0" collapsed="false">
      <c r="A20" s="14" t="s">
        <v>1330</v>
      </c>
      <c r="B20" s="15" t="n">
        <f aca="false">COUNTIFS('Feature Matrix'!$B$2:$B$1000,$A20,'Feature Matrix'!$I$2:$I$1000,B$5)</f>
        <v>0</v>
      </c>
      <c r="C20" s="15" t="n">
        <f aca="false">COUNTIFS('Feature Matrix'!$B$2:$B$1000,$A20,'Feature Matrix'!$I$2:$I$1000,C$5)</f>
        <v>7</v>
      </c>
      <c r="D20" s="15" t="n">
        <f aca="false">COUNTIFS('Feature Matrix'!$B$2:$B$1000,$A20,'Feature Matrix'!$I$2:$I$1000,D$5)</f>
        <v>7</v>
      </c>
      <c r="E20" s="15" t="n">
        <f aca="false">COUNTIFS('Feature Matrix'!$B$2:$B$1000,$A20,'Feature Matrix'!$I$2:$I$1000,E$5)</f>
        <v>2</v>
      </c>
      <c r="F20" s="15" t="n">
        <f aca="false">SUM(B20:E20)</f>
        <v>16</v>
      </c>
      <c r="G20" s="16" t="n">
        <f aca="false">IFERROR(AVERAGEIFS('Feature Matrix'!$G$2:$G$1000,'Feature Matrix'!$B$2:$B$1000,$A20),0)</f>
        <v>3.125</v>
      </c>
      <c r="H20" s="15" t="n">
        <f aca="false">COUNTIFS('Feature Matrix'!$B$2:$B$1000,$A20,'Feature Matrix'!$J$2:$J$1000,"Free")</f>
        <v>15</v>
      </c>
      <c r="I20" s="15" t="n">
        <f aca="false">COUNTIFS('Feature Matrix'!$B$2:$B$1000,$A20,'Feature Matrix'!$J$2:$J$1000,"Plus")+COUNTIFS('Feature Matrix'!$B$2:$B$1000,$A20,'Feature Matrix'!$J$2:$J$1000,"Pack")+COUNTIFS('Feature Matrix'!$B$2:$B$1000,$A20,'Feature Matrix'!$J$2:$J$1000,"Season")</f>
        <v>1</v>
      </c>
      <c r="J20" s="15" t="n">
        <f aca="false">COUNTIFS('Feature Matrix'!$B$2:$B$1000,$A20,'Feature Matrix'!$J$2:$J$1000,"Ad")</f>
        <v>0</v>
      </c>
    </row>
    <row r="21" customFormat="false" ht="15" hidden="false" customHeight="false" outlineLevel="0" collapsed="false">
      <c r="A21" s="14" t="s">
        <v>1386</v>
      </c>
      <c r="B21" s="15" t="n">
        <f aca="false">COUNTIFS('Feature Matrix'!$B$2:$B$1000,$A21,'Feature Matrix'!$I$2:$I$1000,B$5)</f>
        <v>0</v>
      </c>
      <c r="C21" s="15" t="n">
        <f aca="false">COUNTIFS('Feature Matrix'!$B$2:$B$1000,$A21,'Feature Matrix'!$I$2:$I$1000,C$5)</f>
        <v>5</v>
      </c>
      <c r="D21" s="15" t="n">
        <f aca="false">COUNTIFS('Feature Matrix'!$B$2:$B$1000,$A21,'Feature Matrix'!$I$2:$I$1000,D$5)</f>
        <v>6</v>
      </c>
      <c r="E21" s="15" t="n">
        <f aca="false">COUNTIFS('Feature Matrix'!$B$2:$B$1000,$A21,'Feature Matrix'!$I$2:$I$1000,E$5)</f>
        <v>3</v>
      </c>
      <c r="F21" s="15" t="n">
        <f aca="false">SUM(B21:E21)</f>
        <v>14</v>
      </c>
      <c r="G21" s="16" t="n">
        <f aca="false">IFERROR(AVERAGEIFS('Feature Matrix'!$G$2:$G$1000,'Feature Matrix'!$B$2:$B$1000,$A21),0)</f>
        <v>2.71428571428571</v>
      </c>
      <c r="H21" s="15" t="n">
        <f aca="false">COUNTIFS('Feature Matrix'!$B$2:$B$1000,$A21,'Feature Matrix'!$J$2:$J$1000,"Free")</f>
        <v>12</v>
      </c>
      <c r="I21" s="15" t="n">
        <f aca="false">COUNTIFS('Feature Matrix'!$B$2:$B$1000,$A21,'Feature Matrix'!$J$2:$J$1000,"Plus")+COUNTIFS('Feature Matrix'!$B$2:$B$1000,$A21,'Feature Matrix'!$J$2:$J$1000,"Pack")+COUNTIFS('Feature Matrix'!$B$2:$B$1000,$A21,'Feature Matrix'!$J$2:$J$1000,"Season")</f>
        <v>2</v>
      </c>
      <c r="J21" s="15" t="n">
        <f aca="false">COUNTIFS('Feature Matrix'!$B$2:$B$1000,$A21,'Feature Matrix'!$J$2:$J$1000,"Ad")</f>
        <v>0</v>
      </c>
    </row>
    <row r="22" customFormat="false" ht="15" hidden="false" customHeight="false" outlineLevel="0" collapsed="false">
      <c r="A22" s="14" t="s">
        <v>1440</v>
      </c>
      <c r="B22" s="15" t="n">
        <f aca="false">COUNTIFS('Feature Matrix'!$B$2:$B$1000,$A22,'Feature Matrix'!$I$2:$I$1000,B$5)</f>
        <v>0</v>
      </c>
      <c r="C22" s="15" t="n">
        <f aca="false">COUNTIFS('Feature Matrix'!$B$2:$B$1000,$A22,'Feature Matrix'!$I$2:$I$1000,C$5)</f>
        <v>15</v>
      </c>
      <c r="D22" s="15" t="n">
        <f aca="false">COUNTIFS('Feature Matrix'!$B$2:$B$1000,$A22,'Feature Matrix'!$I$2:$I$1000,D$5)</f>
        <v>5</v>
      </c>
      <c r="E22" s="15" t="n">
        <f aca="false">COUNTIFS('Feature Matrix'!$B$2:$B$1000,$A22,'Feature Matrix'!$I$2:$I$1000,E$5)</f>
        <v>2</v>
      </c>
      <c r="F22" s="15" t="n">
        <f aca="false">SUM(B22:E22)</f>
        <v>22</v>
      </c>
      <c r="G22" s="16" t="n">
        <f aca="false">IFERROR(AVERAGEIFS('Feature Matrix'!$G$2:$G$1000,'Feature Matrix'!$B$2:$B$1000,$A22),0)</f>
        <v>3.5</v>
      </c>
      <c r="H22" s="15" t="n">
        <f aca="false">COUNTIFS('Feature Matrix'!$B$2:$B$1000,$A22,'Feature Matrix'!$J$2:$J$1000,"Free")</f>
        <v>21</v>
      </c>
      <c r="I22" s="15" t="n">
        <f aca="false">COUNTIFS('Feature Matrix'!$B$2:$B$1000,$A22,'Feature Matrix'!$J$2:$J$1000,"Plus")+COUNTIFS('Feature Matrix'!$B$2:$B$1000,$A22,'Feature Matrix'!$J$2:$J$1000,"Pack")+COUNTIFS('Feature Matrix'!$B$2:$B$1000,$A22,'Feature Matrix'!$J$2:$J$1000,"Season")</f>
        <v>1</v>
      </c>
      <c r="J22" s="15" t="n">
        <f aca="false">COUNTIFS('Feature Matrix'!$B$2:$B$1000,$A22,'Feature Matrix'!$J$2:$J$1000,"Ad")</f>
        <v>0</v>
      </c>
    </row>
    <row r="23" customFormat="false" ht="15" hidden="false" customHeight="false" outlineLevel="0" collapsed="false">
      <c r="A23" s="14" t="s">
        <v>1529</v>
      </c>
      <c r="B23" s="15" t="n">
        <f aca="false">COUNTIFS('Feature Matrix'!$B$2:$B$1000,$A23,'Feature Matrix'!$I$2:$I$1000,B$5)</f>
        <v>0</v>
      </c>
      <c r="C23" s="15" t="n">
        <f aca="false">COUNTIFS('Feature Matrix'!$B$2:$B$1000,$A23,'Feature Matrix'!$I$2:$I$1000,C$5)</f>
        <v>6</v>
      </c>
      <c r="D23" s="15" t="n">
        <f aca="false">COUNTIFS('Feature Matrix'!$B$2:$B$1000,$A23,'Feature Matrix'!$I$2:$I$1000,D$5)</f>
        <v>7</v>
      </c>
      <c r="E23" s="15" t="n">
        <f aca="false">COUNTIFS('Feature Matrix'!$B$2:$B$1000,$A23,'Feature Matrix'!$I$2:$I$1000,E$5)</f>
        <v>0</v>
      </c>
      <c r="F23" s="15" t="n">
        <f aca="false">SUM(B23:E23)</f>
        <v>13</v>
      </c>
      <c r="G23" s="16" t="n">
        <f aca="false">IFERROR(AVERAGEIFS('Feature Matrix'!$G$2:$G$1000,'Feature Matrix'!$B$2:$B$1000,$A23),0)</f>
        <v>3.53846153846154</v>
      </c>
      <c r="H23" s="15" t="n">
        <f aca="false">COUNTIFS('Feature Matrix'!$B$2:$B$1000,$A23,'Feature Matrix'!$J$2:$J$1000,"Free")</f>
        <v>12</v>
      </c>
      <c r="I23" s="15" t="n">
        <f aca="false">COUNTIFS('Feature Matrix'!$B$2:$B$1000,$A23,'Feature Matrix'!$J$2:$J$1000,"Plus")+COUNTIFS('Feature Matrix'!$B$2:$B$1000,$A23,'Feature Matrix'!$J$2:$J$1000,"Pack")+COUNTIFS('Feature Matrix'!$B$2:$B$1000,$A23,'Feature Matrix'!$J$2:$J$1000,"Season")</f>
        <v>1</v>
      </c>
      <c r="J23" s="15" t="n">
        <f aca="false">COUNTIFS('Feature Matrix'!$B$2:$B$1000,$A23,'Feature Matrix'!$J$2:$J$1000,"Ad")</f>
        <v>0</v>
      </c>
    </row>
    <row r="24" customFormat="false" ht="15" hidden="false" customHeight="false" outlineLevel="0" collapsed="false">
      <c r="A24" s="14" t="s">
        <v>1579</v>
      </c>
      <c r="B24" s="15" t="n">
        <f aca="false">COUNTIFS('Feature Matrix'!$B$2:$B$1000,$A24,'Feature Matrix'!$I$2:$I$1000,B$5)</f>
        <v>0</v>
      </c>
      <c r="C24" s="15" t="n">
        <f aca="false">COUNTIFS('Feature Matrix'!$B$2:$B$1000,$A24,'Feature Matrix'!$I$2:$I$1000,C$5)</f>
        <v>5</v>
      </c>
      <c r="D24" s="15" t="n">
        <f aca="false">COUNTIFS('Feature Matrix'!$B$2:$B$1000,$A24,'Feature Matrix'!$I$2:$I$1000,D$5)</f>
        <v>9</v>
      </c>
      <c r="E24" s="15" t="n">
        <f aca="false">COUNTIFS('Feature Matrix'!$B$2:$B$1000,$A24,'Feature Matrix'!$I$2:$I$1000,E$5)</f>
        <v>1</v>
      </c>
      <c r="F24" s="15" t="n">
        <f aca="false">SUM(B24:E24)</f>
        <v>15</v>
      </c>
      <c r="G24" s="16" t="n">
        <f aca="false">IFERROR(AVERAGEIFS('Feature Matrix'!$G$2:$G$1000,'Feature Matrix'!$B$2:$B$1000,$A24),0)</f>
        <v>3.33333333333333</v>
      </c>
      <c r="H24" s="15" t="n">
        <f aca="false">COUNTIFS('Feature Matrix'!$B$2:$B$1000,$A24,'Feature Matrix'!$J$2:$J$1000,"Free")</f>
        <v>13</v>
      </c>
      <c r="I24" s="15" t="n">
        <f aca="false">COUNTIFS('Feature Matrix'!$B$2:$B$1000,$A24,'Feature Matrix'!$J$2:$J$1000,"Plus")+COUNTIFS('Feature Matrix'!$B$2:$B$1000,$A24,'Feature Matrix'!$J$2:$J$1000,"Pack")+COUNTIFS('Feature Matrix'!$B$2:$B$1000,$A24,'Feature Matrix'!$J$2:$J$1000,"Season")</f>
        <v>2</v>
      </c>
      <c r="J24" s="15" t="n">
        <f aca="false">COUNTIFS('Feature Matrix'!$B$2:$B$1000,$A24,'Feature Matrix'!$J$2:$J$1000,"Ad")</f>
        <v>0</v>
      </c>
    </row>
    <row r="25" customFormat="false" ht="15" hidden="false" customHeight="false" outlineLevel="0" collapsed="false">
      <c r="A25" s="14" t="s">
        <v>1638</v>
      </c>
      <c r="B25" s="15" t="n">
        <f aca="false">COUNTIFS('Feature Matrix'!$B$2:$B$1000,$A25,'Feature Matrix'!$I$2:$I$1000,B$5)</f>
        <v>0</v>
      </c>
      <c r="C25" s="15" t="n">
        <f aca="false">COUNTIFS('Feature Matrix'!$B$2:$B$1000,$A25,'Feature Matrix'!$I$2:$I$1000,C$5)</f>
        <v>5</v>
      </c>
      <c r="D25" s="15" t="n">
        <f aca="false">COUNTIFS('Feature Matrix'!$B$2:$B$1000,$A25,'Feature Matrix'!$I$2:$I$1000,D$5)</f>
        <v>3</v>
      </c>
      <c r="E25" s="15" t="n">
        <f aca="false">COUNTIFS('Feature Matrix'!$B$2:$B$1000,$A25,'Feature Matrix'!$I$2:$I$1000,E$5)</f>
        <v>1</v>
      </c>
      <c r="F25" s="15" t="n">
        <f aca="false">SUM(B25:E25)</f>
        <v>9</v>
      </c>
      <c r="G25" s="16" t="n">
        <f aca="false">IFERROR(AVERAGEIFS('Feature Matrix'!$G$2:$G$1000,'Feature Matrix'!$B$2:$B$1000,$A25),0)</f>
        <v>3.66666666666667</v>
      </c>
      <c r="H25" s="15" t="n">
        <f aca="false">COUNTIFS('Feature Matrix'!$B$2:$B$1000,$A25,'Feature Matrix'!$J$2:$J$1000,"Free")</f>
        <v>9</v>
      </c>
      <c r="I25" s="15" t="n">
        <f aca="false">COUNTIFS('Feature Matrix'!$B$2:$B$1000,$A25,'Feature Matrix'!$J$2:$J$1000,"Plus")+COUNTIFS('Feature Matrix'!$B$2:$B$1000,$A25,'Feature Matrix'!$J$2:$J$1000,"Pack")+COUNTIFS('Feature Matrix'!$B$2:$B$1000,$A25,'Feature Matrix'!$J$2:$J$1000,"Season")</f>
        <v>0</v>
      </c>
      <c r="J25" s="15" t="n">
        <f aca="false">COUNTIFS('Feature Matrix'!$B$2:$B$1000,$A25,'Feature Matrix'!$J$2:$J$1000,"Ad")</f>
        <v>0</v>
      </c>
    </row>
    <row r="26" customFormat="false" ht="15" hidden="false" customHeight="false" outlineLevel="0" collapsed="false">
      <c r="A26" s="14" t="s">
        <v>1677</v>
      </c>
      <c r="B26" s="15" t="n">
        <f aca="false">COUNTIFS('Feature Matrix'!$B$2:$B$1000,$A26,'Feature Matrix'!$I$2:$I$1000,B$5)</f>
        <v>0</v>
      </c>
      <c r="C26" s="15" t="n">
        <f aca="false">COUNTIFS('Feature Matrix'!$B$2:$B$1000,$A26,'Feature Matrix'!$I$2:$I$1000,C$5)</f>
        <v>0</v>
      </c>
      <c r="D26" s="15" t="n">
        <f aca="false">COUNTIFS('Feature Matrix'!$B$2:$B$1000,$A26,'Feature Matrix'!$I$2:$I$1000,D$5)</f>
        <v>6</v>
      </c>
      <c r="E26" s="15" t="n">
        <f aca="false">COUNTIFS('Feature Matrix'!$B$2:$B$1000,$A26,'Feature Matrix'!$I$2:$I$1000,E$5)</f>
        <v>7</v>
      </c>
      <c r="F26" s="15" t="n">
        <f aca="false">SUM(B26:E26)</f>
        <v>13</v>
      </c>
      <c r="G26" s="16" t="n">
        <f aca="false">IFERROR(AVERAGEIFS('Feature Matrix'!$G$2:$G$1000,'Feature Matrix'!$B$2:$B$1000,$A26),0)</f>
        <v>3.07692307692308</v>
      </c>
      <c r="H26" s="15" t="n">
        <f aca="false">COUNTIFS('Feature Matrix'!$B$2:$B$1000,$A26,'Feature Matrix'!$J$2:$J$1000,"Free")</f>
        <v>12</v>
      </c>
      <c r="I26" s="15" t="n">
        <f aca="false">COUNTIFS('Feature Matrix'!$B$2:$B$1000,$A26,'Feature Matrix'!$J$2:$J$1000,"Plus")+COUNTIFS('Feature Matrix'!$B$2:$B$1000,$A26,'Feature Matrix'!$J$2:$J$1000,"Pack")+COUNTIFS('Feature Matrix'!$B$2:$B$1000,$A26,'Feature Matrix'!$J$2:$J$1000,"Season")</f>
        <v>1</v>
      </c>
      <c r="J26" s="15" t="n">
        <f aca="false">COUNTIFS('Feature Matrix'!$B$2:$B$1000,$A26,'Feature Matrix'!$J$2:$J$1000,"Ad")</f>
        <v>0</v>
      </c>
    </row>
    <row r="27" customFormat="false" ht="15" hidden="false" customHeight="false" outlineLevel="0" collapsed="false">
      <c r="A27" s="14" t="s">
        <v>1723</v>
      </c>
      <c r="B27" s="15" t="n">
        <f aca="false">COUNTIFS('Feature Matrix'!$B$2:$B$1000,$A27,'Feature Matrix'!$I$2:$I$1000,B$5)</f>
        <v>0</v>
      </c>
      <c r="C27" s="15" t="n">
        <f aca="false">COUNTIFS('Feature Matrix'!$B$2:$B$1000,$A27,'Feature Matrix'!$I$2:$I$1000,C$5)</f>
        <v>17</v>
      </c>
      <c r="D27" s="15" t="n">
        <f aca="false">COUNTIFS('Feature Matrix'!$B$2:$B$1000,$A27,'Feature Matrix'!$I$2:$I$1000,D$5)</f>
        <v>11</v>
      </c>
      <c r="E27" s="15" t="n">
        <f aca="false">COUNTIFS('Feature Matrix'!$B$2:$B$1000,$A27,'Feature Matrix'!$I$2:$I$1000,E$5)</f>
        <v>0</v>
      </c>
      <c r="F27" s="15" t="n">
        <f aca="false">SUM(B27:E27)</f>
        <v>28</v>
      </c>
      <c r="G27" s="16" t="n">
        <f aca="false">IFERROR(AVERAGEIFS('Feature Matrix'!$G$2:$G$1000,'Feature Matrix'!$B$2:$B$1000,$A27),0)</f>
        <v>2.85714285714286</v>
      </c>
      <c r="H27" s="15" t="n">
        <f aca="false">COUNTIFS('Feature Matrix'!$B$2:$B$1000,$A27,'Feature Matrix'!$J$2:$J$1000,"Free")</f>
        <v>11</v>
      </c>
      <c r="I27" s="15" t="n">
        <f aca="false">COUNTIFS('Feature Matrix'!$B$2:$B$1000,$A27,'Feature Matrix'!$J$2:$J$1000,"Plus")+COUNTIFS('Feature Matrix'!$B$2:$B$1000,$A27,'Feature Matrix'!$J$2:$J$1000,"Pack")+COUNTIFS('Feature Matrix'!$B$2:$B$1000,$A27,'Feature Matrix'!$J$2:$J$1000,"Season")</f>
        <v>11</v>
      </c>
      <c r="J27" s="15" t="n">
        <f aca="false">COUNTIFS('Feature Matrix'!$B$2:$B$1000,$A27,'Feature Matrix'!$J$2:$J$1000,"Ad")</f>
        <v>6</v>
      </c>
    </row>
    <row r="28" customFormat="false" ht="15" hidden="false" customHeight="false" outlineLevel="0" collapsed="false">
      <c r="A28" s="14" t="s">
        <v>1841</v>
      </c>
      <c r="B28" s="15" t="n">
        <f aca="false">COUNTIFS('Feature Matrix'!$B$2:$B$1000,$A28,'Feature Matrix'!$I$2:$I$1000,B$5)</f>
        <v>0</v>
      </c>
      <c r="C28" s="15" t="n">
        <f aca="false">COUNTIFS('Feature Matrix'!$B$2:$B$1000,$A28,'Feature Matrix'!$I$2:$I$1000,C$5)</f>
        <v>0</v>
      </c>
      <c r="D28" s="15" t="n">
        <f aca="false">COUNTIFS('Feature Matrix'!$B$2:$B$1000,$A28,'Feature Matrix'!$I$2:$I$1000,D$5)</f>
        <v>8</v>
      </c>
      <c r="E28" s="15" t="n">
        <f aca="false">COUNTIFS('Feature Matrix'!$B$2:$B$1000,$A28,'Feature Matrix'!$I$2:$I$1000,E$5)</f>
        <v>2</v>
      </c>
      <c r="F28" s="15" t="n">
        <f aca="false">SUM(B28:E28)</f>
        <v>10</v>
      </c>
      <c r="G28" s="16" t="n">
        <f aca="false">IFERROR(AVERAGEIFS('Feature Matrix'!$G$2:$G$1000,'Feature Matrix'!$B$2:$B$1000,$A28),0)</f>
        <v>2.7</v>
      </c>
      <c r="H28" s="15" t="n">
        <f aca="false">COUNTIFS('Feature Matrix'!$B$2:$B$1000,$A28,'Feature Matrix'!$J$2:$J$1000,"Free")</f>
        <v>9</v>
      </c>
      <c r="I28" s="15" t="n">
        <f aca="false">COUNTIFS('Feature Matrix'!$B$2:$B$1000,$A28,'Feature Matrix'!$J$2:$J$1000,"Plus")+COUNTIFS('Feature Matrix'!$B$2:$B$1000,$A28,'Feature Matrix'!$J$2:$J$1000,"Pack")+COUNTIFS('Feature Matrix'!$B$2:$B$1000,$A28,'Feature Matrix'!$J$2:$J$1000,"Season")</f>
        <v>1</v>
      </c>
      <c r="J28" s="15" t="n">
        <f aca="false">COUNTIFS('Feature Matrix'!$B$2:$B$1000,$A28,'Feature Matrix'!$J$2:$J$1000,"Ad")</f>
        <v>0</v>
      </c>
    </row>
    <row r="29" customFormat="false" ht="15" hidden="false" customHeight="false" outlineLevel="0" collapsed="false">
      <c r="A29" s="14" t="s">
        <v>1877</v>
      </c>
      <c r="B29" s="15" t="n">
        <f aca="false">COUNTIFS('Feature Matrix'!$B$2:$B$1000,$A29,'Feature Matrix'!$I$2:$I$1000,B$5)</f>
        <v>0</v>
      </c>
      <c r="C29" s="15" t="n">
        <f aca="false">COUNTIFS('Feature Matrix'!$B$2:$B$1000,$A29,'Feature Matrix'!$I$2:$I$1000,C$5)</f>
        <v>13</v>
      </c>
      <c r="D29" s="15" t="n">
        <f aca="false">COUNTIFS('Feature Matrix'!$B$2:$B$1000,$A29,'Feature Matrix'!$I$2:$I$1000,D$5)</f>
        <v>6</v>
      </c>
      <c r="E29" s="15" t="n">
        <f aca="false">COUNTIFS('Feature Matrix'!$B$2:$B$1000,$A29,'Feature Matrix'!$I$2:$I$1000,E$5)</f>
        <v>0</v>
      </c>
      <c r="F29" s="15" t="n">
        <f aca="false">SUM(B29:E29)</f>
        <v>19</v>
      </c>
      <c r="G29" s="16" t="n">
        <f aca="false">IFERROR(AVERAGEIFS('Feature Matrix'!$G$2:$G$1000,'Feature Matrix'!$B$2:$B$1000,$A29),0)</f>
        <v>3.63157894736842</v>
      </c>
      <c r="H29" s="15" t="n">
        <f aca="false">COUNTIFS('Feature Matrix'!$B$2:$B$1000,$A29,'Feature Matrix'!$J$2:$J$1000,"Free")</f>
        <v>19</v>
      </c>
      <c r="I29" s="15" t="n">
        <f aca="false">COUNTIFS('Feature Matrix'!$B$2:$B$1000,$A29,'Feature Matrix'!$J$2:$J$1000,"Plus")+COUNTIFS('Feature Matrix'!$B$2:$B$1000,$A29,'Feature Matrix'!$J$2:$J$1000,"Pack")+COUNTIFS('Feature Matrix'!$B$2:$B$1000,$A29,'Feature Matrix'!$J$2:$J$1000,"Season")</f>
        <v>0</v>
      </c>
      <c r="J29" s="15" t="n">
        <f aca="false">COUNTIFS('Feature Matrix'!$B$2:$B$1000,$A29,'Feature Matrix'!$J$2:$J$1000,"Ad")</f>
        <v>0</v>
      </c>
    </row>
    <row r="30" customFormat="false" ht="15" hidden="false" customHeight="false" outlineLevel="0" collapsed="false">
      <c r="A30" s="17" t="s">
        <v>1952</v>
      </c>
      <c r="B30" s="17" t="n">
        <f aca="false">SUM(B6:B29)</f>
        <v>33</v>
      </c>
      <c r="C30" s="17" t="n">
        <f aca="false">SUM(C6:C29)</f>
        <v>226</v>
      </c>
      <c r="D30" s="17" t="n">
        <f aca="false">SUM(D6:D29)</f>
        <v>172</v>
      </c>
      <c r="E30" s="17" t="n">
        <f aca="false">SUM(E6:E29)</f>
        <v>29</v>
      </c>
      <c r="F30" s="17" t="n">
        <f aca="false">SUM(F6:F29)</f>
        <v>460</v>
      </c>
      <c r="G30" s="18" t="n">
        <f aca="false">IFERROR(AVERAGE('Feature Matrix'!$G$2:$G$1000),0)</f>
        <v>3.33478260869565</v>
      </c>
      <c r="H30" s="17" t="n">
        <f aca="false">SUM(H6:H29)</f>
        <v>415</v>
      </c>
      <c r="I30" s="17" t="n">
        <f aca="false">SUM(I6:I29)</f>
        <v>37</v>
      </c>
      <c r="J30" s="17" t="n">
        <f aca="false">SUM(J6:J29)</f>
        <v>8</v>
      </c>
    </row>
    <row r="31" customFormat="false" ht="15" hidden="false" customHeight="false" outlineLevel="0" collapsed="false">
      <c r="A31" s="19" t="s">
        <v>1955</v>
      </c>
      <c r="F31" s="19" t="n">
        <f aca="false">COUNTA('Feature Matrix'!$A$2:$A$1000)</f>
        <v>460</v>
      </c>
      <c r="G31" s="19" t="str">
        <f aca="false">IF(F31=F30,"OK","MISMATCH")</f>
        <v>OK</v>
      </c>
    </row>
    <row r="33" customFormat="false" ht="15" hidden="false" customHeight="false" outlineLevel="0" collapsed="false">
      <c r="A33" s="6" t="s">
        <v>1956</v>
      </c>
    </row>
    <row r="34" customFormat="false" ht="15" hidden="false" customHeight="false" outlineLevel="0" collapsed="false">
      <c r="A34" s="9" t="s">
        <v>3</v>
      </c>
      <c r="B34" s="9" t="s">
        <v>1957</v>
      </c>
      <c r="C34" s="9" t="s">
        <v>1958</v>
      </c>
    </row>
    <row r="35" customFormat="false" ht="15" hidden="false" customHeight="false" outlineLevel="0" collapsed="false">
      <c r="A35" s="14" t="s">
        <v>88</v>
      </c>
      <c r="B35" s="14" t="n">
        <f aca="false">COUNTIFS('Feature Matrix'!$F$2:$F$1000,A35)</f>
        <v>31</v>
      </c>
      <c r="C35" s="20" t="n">
        <f aca="false">IF($B$38=0,0,B35/$B$38)</f>
        <v>0.0673913043478261</v>
      </c>
    </row>
    <row r="36" customFormat="false" ht="15" hidden="false" customHeight="false" outlineLevel="0" collapsed="false">
      <c r="A36" s="14" t="s">
        <v>99</v>
      </c>
      <c r="B36" s="14" t="n">
        <f aca="false">COUNTIFS('Feature Matrix'!$F$2:$F$1000,A36)</f>
        <v>186</v>
      </c>
      <c r="C36" s="20" t="n">
        <f aca="false">IF($B$38=0,0,B36/$B$38)</f>
        <v>0.404347826086957</v>
      </c>
    </row>
    <row r="37" customFormat="false" ht="15" hidden="false" customHeight="false" outlineLevel="0" collapsed="false">
      <c r="A37" s="14" t="s">
        <v>105</v>
      </c>
      <c r="B37" s="14" t="n">
        <f aca="false">COUNTIFS('Feature Matrix'!$F$2:$F$1000,A37)</f>
        <v>243</v>
      </c>
      <c r="C37" s="20" t="n">
        <f aca="false">IF($B$38=0,0,B37/$B$38)</f>
        <v>0.528260869565217</v>
      </c>
    </row>
    <row r="38" customFormat="false" ht="15" hidden="false" customHeight="false" outlineLevel="0" collapsed="false">
      <c r="A38" s="21" t="s">
        <v>1952</v>
      </c>
      <c r="B38" s="21" t="n">
        <f aca="false">SUM(B35:B37)</f>
        <v>460</v>
      </c>
      <c r="C38" s="22" t="n">
        <f aca="false">SUM(C35:C37)</f>
        <v>1</v>
      </c>
    </row>
    <row r="40" customFormat="false" ht="15" hidden="false" customHeight="false" outlineLevel="0" collapsed="false">
      <c r="A40" s="6" t="s">
        <v>1959</v>
      </c>
    </row>
    <row r="41" customFormat="false" ht="15" hidden="false" customHeight="false" outlineLevel="0" collapsed="false">
      <c r="A41" s="9" t="s">
        <v>41</v>
      </c>
      <c r="B41" s="9" t="s">
        <v>90</v>
      </c>
      <c r="C41" s="9" t="s">
        <v>106</v>
      </c>
      <c r="D41" s="9" t="s">
        <v>144</v>
      </c>
      <c r="E41" s="9" t="s">
        <v>172</v>
      </c>
      <c r="F41" s="9" t="s">
        <v>1952</v>
      </c>
      <c r="G41" s="9" t="s">
        <v>1958</v>
      </c>
    </row>
    <row r="42" customFormat="false" ht="15" hidden="false" customHeight="false" outlineLevel="0" collapsed="false">
      <c r="A42" s="14" t="s">
        <v>91</v>
      </c>
      <c r="B42" s="14" t="n">
        <f aca="false">COUNTIFS('Feature Matrix'!$J$2:$J$1000,$A42,'Feature Matrix'!$I$2:$I$1000,B$41)</f>
        <v>33</v>
      </c>
      <c r="C42" s="14" t="n">
        <f aca="false">COUNTIFS('Feature Matrix'!$J$2:$J$1000,$A42,'Feature Matrix'!$I$2:$I$1000,C$41)</f>
        <v>210</v>
      </c>
      <c r="D42" s="14" t="n">
        <f aca="false">COUNTIFS('Feature Matrix'!$J$2:$J$1000,$A42,'Feature Matrix'!$I$2:$I$1000,D$41)</f>
        <v>156</v>
      </c>
      <c r="E42" s="14" t="n">
        <f aca="false">COUNTIFS('Feature Matrix'!$J$2:$J$1000,$A42,'Feature Matrix'!$I$2:$I$1000,E$41)</f>
        <v>16</v>
      </c>
      <c r="F42" s="14" t="n">
        <f aca="false">SUM(B42:E42)</f>
        <v>415</v>
      </c>
      <c r="G42" s="20" t="n">
        <f aca="false">IF($F$47=0,0,F42/$F$47)</f>
        <v>0.902173913043478</v>
      </c>
    </row>
    <row r="43" customFormat="false" ht="15" hidden="false" customHeight="false" outlineLevel="0" collapsed="false">
      <c r="A43" s="14" t="s">
        <v>155</v>
      </c>
      <c r="B43" s="14" t="n">
        <f aca="false">COUNTIFS('Feature Matrix'!$J$2:$J$1000,$A43,'Feature Matrix'!$I$2:$I$1000,B$41)</f>
        <v>0</v>
      </c>
      <c r="C43" s="14" t="n">
        <f aca="false">COUNTIFS('Feature Matrix'!$J$2:$J$1000,$A43,'Feature Matrix'!$I$2:$I$1000,C$41)</f>
        <v>8</v>
      </c>
      <c r="D43" s="14" t="n">
        <f aca="false">COUNTIFS('Feature Matrix'!$J$2:$J$1000,$A43,'Feature Matrix'!$I$2:$I$1000,D$41)</f>
        <v>5</v>
      </c>
      <c r="E43" s="14" t="n">
        <f aca="false">COUNTIFS('Feature Matrix'!$J$2:$J$1000,$A43,'Feature Matrix'!$I$2:$I$1000,E$41)</f>
        <v>0</v>
      </c>
      <c r="F43" s="14" t="n">
        <f aca="false">SUM(B43:E43)</f>
        <v>13</v>
      </c>
      <c r="G43" s="20" t="n">
        <f aca="false">IF($F$47=0,0,F43/$F$47)</f>
        <v>0.0282608695652174</v>
      </c>
    </row>
    <row r="44" customFormat="false" ht="15" hidden="false" customHeight="false" outlineLevel="0" collapsed="false">
      <c r="A44" s="14" t="s">
        <v>176</v>
      </c>
      <c r="B44" s="14" t="n">
        <f aca="false">COUNTIFS('Feature Matrix'!$J$2:$J$1000,$A44,'Feature Matrix'!$I$2:$I$1000,B$41)</f>
        <v>0</v>
      </c>
      <c r="C44" s="14" t="n">
        <f aca="false">COUNTIFS('Feature Matrix'!$J$2:$J$1000,$A44,'Feature Matrix'!$I$2:$I$1000,C$41)</f>
        <v>1</v>
      </c>
      <c r="D44" s="14" t="n">
        <f aca="false">COUNTIFS('Feature Matrix'!$J$2:$J$1000,$A44,'Feature Matrix'!$I$2:$I$1000,D$41)</f>
        <v>5</v>
      </c>
      <c r="E44" s="14" t="n">
        <f aca="false">COUNTIFS('Feature Matrix'!$J$2:$J$1000,$A44,'Feature Matrix'!$I$2:$I$1000,E$41)</f>
        <v>10</v>
      </c>
      <c r="F44" s="14" t="n">
        <f aca="false">SUM(B44:E44)</f>
        <v>16</v>
      </c>
      <c r="G44" s="20" t="n">
        <f aca="false">IF($F$47=0,0,F44/$F$47)</f>
        <v>0.0347826086956522</v>
      </c>
    </row>
    <row r="45" customFormat="false" ht="15" hidden="false" customHeight="false" outlineLevel="0" collapsed="false">
      <c r="A45" s="14" t="s">
        <v>805</v>
      </c>
      <c r="B45" s="14" t="n">
        <f aca="false">COUNTIFS('Feature Matrix'!$J$2:$J$1000,$A45,'Feature Matrix'!$I$2:$I$1000,B$41)</f>
        <v>0</v>
      </c>
      <c r="C45" s="14" t="n">
        <f aca="false">COUNTIFS('Feature Matrix'!$J$2:$J$1000,$A45,'Feature Matrix'!$I$2:$I$1000,C$41)</f>
        <v>0</v>
      </c>
      <c r="D45" s="14" t="n">
        <f aca="false">COUNTIFS('Feature Matrix'!$J$2:$J$1000,$A45,'Feature Matrix'!$I$2:$I$1000,D$41)</f>
        <v>5</v>
      </c>
      <c r="E45" s="14" t="n">
        <f aca="false">COUNTIFS('Feature Matrix'!$J$2:$J$1000,$A45,'Feature Matrix'!$I$2:$I$1000,E$41)</f>
        <v>3</v>
      </c>
      <c r="F45" s="14" t="n">
        <f aca="false">SUM(B45:E45)</f>
        <v>8</v>
      </c>
      <c r="G45" s="20" t="n">
        <f aca="false">IF($F$47=0,0,F45/$F$47)</f>
        <v>0.0173913043478261</v>
      </c>
    </row>
    <row r="46" customFormat="false" ht="15" hidden="false" customHeight="false" outlineLevel="0" collapsed="false">
      <c r="A46" s="14" t="s">
        <v>320</v>
      </c>
      <c r="B46" s="14" t="n">
        <f aca="false">COUNTIFS('Feature Matrix'!$J$2:$J$1000,$A46,'Feature Matrix'!$I$2:$I$1000,B$41)</f>
        <v>0</v>
      </c>
      <c r="C46" s="14" t="n">
        <f aca="false">COUNTIFS('Feature Matrix'!$J$2:$J$1000,$A46,'Feature Matrix'!$I$2:$I$1000,C$41)</f>
        <v>7</v>
      </c>
      <c r="D46" s="14" t="n">
        <f aca="false">COUNTIFS('Feature Matrix'!$J$2:$J$1000,$A46,'Feature Matrix'!$I$2:$I$1000,D$41)</f>
        <v>1</v>
      </c>
      <c r="E46" s="14" t="n">
        <f aca="false">COUNTIFS('Feature Matrix'!$J$2:$J$1000,$A46,'Feature Matrix'!$I$2:$I$1000,E$41)</f>
        <v>0</v>
      </c>
      <c r="F46" s="14" t="n">
        <f aca="false">SUM(B46:E46)</f>
        <v>8</v>
      </c>
      <c r="G46" s="20" t="n">
        <f aca="false">IF($F$47=0,0,F46/$F$47)</f>
        <v>0.0173913043478261</v>
      </c>
    </row>
    <row r="47" customFormat="false" ht="15" hidden="false" customHeight="false" outlineLevel="0" collapsed="false">
      <c r="A47" s="21" t="s">
        <v>1952</v>
      </c>
      <c r="B47" s="21" t="n">
        <f aca="false">SUM(B42:B46)</f>
        <v>33</v>
      </c>
      <c r="C47" s="21" t="n">
        <f aca="false">SUM(C42:C46)</f>
        <v>226</v>
      </c>
      <c r="D47" s="21" t="n">
        <f aca="false">SUM(D42:D46)</f>
        <v>172</v>
      </c>
      <c r="E47" s="21" t="n">
        <f aca="false">SUM(E42:E46)</f>
        <v>29</v>
      </c>
      <c r="F47" s="21" t="n">
        <f aca="false">SUM(F42:F46)</f>
        <v>460</v>
      </c>
      <c r="G47" s="22" t="n">
        <f aca="false">SUM(G42:G46)</f>
        <v>1</v>
      </c>
    </row>
    <row r="49" customFormat="false" ht="15" hidden="false" customHeight="false" outlineLevel="0" collapsed="false">
      <c r="A49" s="6" t="s">
        <v>1960</v>
      </c>
    </row>
    <row r="50" customFormat="false" ht="15" hidden="false" customHeight="true" outlineLevel="0" collapsed="false">
      <c r="A50" s="9" t="s">
        <v>1961</v>
      </c>
      <c r="B50" s="9" t="s">
        <v>1957</v>
      </c>
      <c r="C50" s="9" t="s">
        <v>1962</v>
      </c>
      <c r="D50" s="9" t="s">
        <v>1963</v>
      </c>
      <c r="E50" s="9"/>
      <c r="F50" s="9"/>
      <c r="G50" s="9"/>
      <c r="H50" s="9"/>
      <c r="I50" s="9"/>
      <c r="J50" s="9"/>
    </row>
    <row r="51" customFormat="false" ht="30" hidden="false" customHeight="true" outlineLevel="0" collapsed="false">
      <c r="A51" s="10" t="s">
        <v>1964</v>
      </c>
      <c r="B51" s="10" t="n">
        <f aca="false">COUNTIFS('Feature Matrix'!$M$2:$M$1000,"Yes",'Feature Matrix'!$J$2:$J$1000,"Plus")+COUNTIFS('Feature Matrix'!$M$2:$M$1000,"Yes",'Feature Matrix'!$J$2:$J$1000,"Pack")</f>
        <v>0</v>
      </c>
      <c r="C51" s="10" t="str">
        <f aca="false">IF(B51=0,"PASS","FAIL")</f>
        <v>PASS</v>
      </c>
      <c r="D51" s="10" t="s">
        <v>1965</v>
      </c>
      <c r="E51" s="10"/>
      <c r="F51" s="10"/>
      <c r="G51" s="10"/>
      <c r="H51" s="10"/>
      <c r="I51" s="10"/>
      <c r="J51" s="10"/>
    </row>
    <row r="52" customFormat="false" ht="30" hidden="false" customHeight="true" outlineLevel="0" collapsed="false">
      <c r="A52" s="10" t="s">
        <v>1966</v>
      </c>
      <c r="B52" s="10" t="n">
        <f aca="false">COUNTIFS('Feature Matrix'!$M$2:$M$1000,"Yes",'Feature Matrix'!$J$2:$J$1000,"&lt;&gt;Free")</f>
        <v>0</v>
      </c>
      <c r="C52" s="10" t="str">
        <f aca="false">IF(B52=0,"PASS","FAIL")</f>
        <v>PASS</v>
      </c>
      <c r="D52" s="10" t="s">
        <v>1967</v>
      </c>
      <c r="E52" s="10"/>
      <c r="F52" s="10"/>
      <c r="G52" s="10"/>
      <c r="H52" s="10"/>
      <c r="I52" s="10"/>
      <c r="J52" s="10"/>
    </row>
    <row r="53" customFormat="false" ht="30" hidden="false" customHeight="true" outlineLevel="0" collapsed="false">
      <c r="A53" s="10" t="s">
        <v>1968</v>
      </c>
      <c r="B53" s="10" t="n">
        <f aca="false">COUNTIFS('Feature Matrix'!$B$2:$B$1000,"Careers and jobs",'Feature Matrix'!$C$2:$C$1000,"*career*",'Feature Matrix'!$J$2:$J$1000,"&lt;&gt;Free")</f>
        <v>0</v>
      </c>
      <c r="C53" s="10" t="str">
        <f aca="false">IF(B53=0,"PASS","FAIL")</f>
        <v>PASS</v>
      </c>
      <c r="D53" s="10" t="s">
        <v>1969</v>
      </c>
      <c r="E53" s="10"/>
      <c r="F53" s="10"/>
      <c r="G53" s="10"/>
      <c r="H53" s="10"/>
      <c r="I53" s="10"/>
      <c r="J53" s="10"/>
    </row>
    <row r="54" customFormat="false" ht="30" hidden="false" customHeight="true" outlineLevel="0" collapsed="false">
      <c r="A54" s="10" t="s">
        <v>1970</v>
      </c>
      <c r="B54" s="10" t="n">
        <f aca="false">COUNTIFS('Feature Matrix'!$B$2:$B$1000,"Careers and jobs",'Feature Matrix'!$C$2:$C$1000,"*career*")</f>
        <v>32</v>
      </c>
      <c r="C54" s="10" t="s">
        <v>1971</v>
      </c>
      <c r="D54" s="10" t="s">
        <v>1972</v>
      </c>
      <c r="E54" s="10"/>
      <c r="F54" s="10"/>
      <c r="G54" s="10"/>
      <c r="H54" s="10"/>
      <c r="I54" s="10"/>
      <c r="J54" s="10"/>
    </row>
    <row r="55" customFormat="false" ht="15" hidden="false" customHeight="false" outlineLevel="0" collapsed="false">
      <c r="A55" s="6" t="s">
        <v>1973</v>
      </c>
      <c r="C55" s="6" t="str">
        <f aca="false">IF(AND(C51="PASS",C52="PASS",C53="PASS"),"PASS","FAIL")</f>
        <v>PASS</v>
      </c>
    </row>
  </sheetData>
  <mergeCells count="5">
    <mergeCell ref="D50:J50"/>
    <mergeCell ref="D51:J51"/>
    <mergeCell ref="D52:J52"/>
    <mergeCell ref="D53:J53"/>
    <mergeCell ref="D54:J54"/>
  </mergeCells>
  <conditionalFormatting sqref="C51:C55">
    <cfRule type="expression" priority="2" aboveAverage="0" equalAverage="0" bottom="0" percent="0" rank="0" text="" dxfId="20">
      <formula>C51="PASS"</formula>
    </cfRule>
    <cfRule type="expression" priority="3" aboveAverage="0" equalAverage="0" bottom="0" percent="0" rank="0" text="" dxfId="21">
      <formula>C51="FAIL"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2" t="s">
        <v>1974</v>
      </c>
    </row>
    <row r="2" customFormat="false" ht="15" hidden="false" customHeight="false" outlineLevel="0" collapsed="false">
      <c r="A2" s="13" t="s">
        <v>1975</v>
      </c>
    </row>
    <row r="4" customFormat="false" ht="26.85" hidden="false" customHeight="false" outlineLevel="0" collapsed="false">
      <c r="A4" s="9" t="s">
        <v>23</v>
      </c>
      <c r="B4" s="9" t="s">
        <v>1976</v>
      </c>
      <c r="C4" s="9" t="s">
        <v>1977</v>
      </c>
      <c r="D4" s="9" t="s">
        <v>1978</v>
      </c>
      <c r="E4" s="9" t="s">
        <v>1979</v>
      </c>
      <c r="F4" s="9" t="s">
        <v>1980</v>
      </c>
      <c r="G4" s="9" t="s">
        <v>1981</v>
      </c>
      <c r="H4" s="9" t="s">
        <v>1982</v>
      </c>
    </row>
    <row r="5" customFormat="false" ht="57.45" hidden="false" customHeight="false" outlineLevel="0" collapsed="false">
      <c r="A5" s="23" t="s">
        <v>1983</v>
      </c>
      <c r="B5" s="23" t="s">
        <v>1984</v>
      </c>
      <c r="C5" s="24" t="n">
        <v>9.99</v>
      </c>
      <c r="D5" s="23" t="s">
        <v>1985</v>
      </c>
      <c r="E5" s="23" t="s">
        <v>1986</v>
      </c>
      <c r="F5" s="23" t="s">
        <v>1987</v>
      </c>
      <c r="G5" s="23" t="s">
        <v>155</v>
      </c>
      <c r="H5" s="23" t="s">
        <v>1988</v>
      </c>
    </row>
    <row r="6" customFormat="false" ht="23.85" hidden="false" customHeight="false" outlineLevel="0" collapsed="false">
      <c r="A6" s="23" t="s">
        <v>1989</v>
      </c>
      <c r="B6" s="23" t="s">
        <v>1990</v>
      </c>
      <c r="C6" s="24" t="n">
        <v>2.99</v>
      </c>
      <c r="D6" s="23" t="s">
        <v>1991</v>
      </c>
      <c r="E6" s="23" t="s">
        <v>1986</v>
      </c>
      <c r="F6" s="23" t="s">
        <v>1987</v>
      </c>
      <c r="G6" s="23" t="s">
        <v>155</v>
      </c>
      <c r="H6" s="23" t="s">
        <v>1992</v>
      </c>
    </row>
    <row r="7" customFormat="false" ht="15" hidden="false" customHeight="false" outlineLevel="0" collapsed="false">
      <c r="A7" s="23" t="s">
        <v>1993</v>
      </c>
      <c r="B7" s="23" t="s">
        <v>1994</v>
      </c>
      <c r="C7" s="24" t="n">
        <v>6.99</v>
      </c>
      <c r="D7" s="23" t="s">
        <v>1995</v>
      </c>
      <c r="E7" s="23" t="s">
        <v>1986</v>
      </c>
      <c r="F7" s="23" t="s">
        <v>1987</v>
      </c>
      <c r="G7" s="23" t="s">
        <v>155</v>
      </c>
      <c r="H7" s="23"/>
    </row>
    <row r="8" customFormat="false" ht="23.85" hidden="false" customHeight="false" outlineLevel="0" collapsed="false">
      <c r="A8" s="23" t="s">
        <v>1996</v>
      </c>
      <c r="B8" s="23" t="s">
        <v>1997</v>
      </c>
      <c r="C8" s="24" t="n">
        <v>2.99</v>
      </c>
      <c r="D8" s="23" t="s">
        <v>1998</v>
      </c>
      <c r="E8" s="23" t="s">
        <v>1986</v>
      </c>
      <c r="F8" s="23" t="s">
        <v>1987</v>
      </c>
      <c r="G8" s="23" t="s">
        <v>176</v>
      </c>
      <c r="H8" s="23" t="s">
        <v>1999</v>
      </c>
    </row>
    <row r="9" customFormat="false" ht="23.85" hidden="false" customHeight="false" outlineLevel="0" collapsed="false">
      <c r="A9" s="23" t="s">
        <v>2000</v>
      </c>
      <c r="B9" s="23" t="s">
        <v>2001</v>
      </c>
      <c r="C9" s="24" t="n">
        <v>3.99</v>
      </c>
      <c r="D9" s="23" t="s">
        <v>2002</v>
      </c>
      <c r="E9" s="23" t="s">
        <v>1986</v>
      </c>
      <c r="F9" s="23" t="s">
        <v>1987</v>
      </c>
      <c r="G9" s="23" t="s">
        <v>176</v>
      </c>
      <c r="H9" s="23" t="s">
        <v>2003</v>
      </c>
    </row>
    <row r="10" customFormat="false" ht="35.05" hidden="false" customHeight="false" outlineLevel="0" collapsed="false">
      <c r="A10" s="23" t="s">
        <v>2004</v>
      </c>
      <c r="B10" s="23" t="s">
        <v>2005</v>
      </c>
      <c r="C10" s="24" t="n">
        <v>4.99</v>
      </c>
      <c r="D10" s="23" t="s">
        <v>2006</v>
      </c>
      <c r="E10" s="23" t="s">
        <v>2007</v>
      </c>
      <c r="F10" s="23" t="s">
        <v>1987</v>
      </c>
      <c r="G10" s="23" t="s">
        <v>805</v>
      </c>
      <c r="H10" s="23" t="s">
        <v>2008</v>
      </c>
    </row>
    <row r="11" customFormat="false" ht="23.85" hidden="false" customHeight="false" outlineLevel="0" collapsed="false">
      <c r="A11" s="23" t="s">
        <v>2009</v>
      </c>
      <c r="B11" s="23" t="s">
        <v>2010</v>
      </c>
      <c r="C11" s="24" t="n">
        <v>1.99</v>
      </c>
      <c r="D11" s="23" t="s">
        <v>2011</v>
      </c>
      <c r="E11" s="23" t="s">
        <v>1986</v>
      </c>
      <c r="F11" s="23" t="s">
        <v>2012</v>
      </c>
      <c r="G11" s="23" t="s">
        <v>176</v>
      </c>
      <c r="H11" s="23" t="s">
        <v>2013</v>
      </c>
    </row>
    <row r="12" customFormat="false" ht="15" hidden="false" customHeight="false" outlineLevel="0" collapsed="false">
      <c r="A12" s="23" t="s">
        <v>2014</v>
      </c>
      <c r="B12" s="23" t="s">
        <v>2015</v>
      </c>
      <c r="C12" s="24" t="n">
        <v>0.99</v>
      </c>
      <c r="D12" s="23" t="s">
        <v>2016</v>
      </c>
      <c r="E12" s="23" t="s">
        <v>1986</v>
      </c>
      <c r="F12" s="23" t="s">
        <v>1987</v>
      </c>
      <c r="G12" s="23" t="s">
        <v>176</v>
      </c>
      <c r="H12" s="23" t="s">
        <v>2017</v>
      </c>
    </row>
    <row r="13" customFormat="false" ht="15" hidden="false" customHeight="false" outlineLevel="0" collapsed="false">
      <c r="A13" s="23" t="s">
        <v>2018</v>
      </c>
      <c r="B13" s="23" t="s">
        <v>2019</v>
      </c>
      <c r="C13" s="24" t="n">
        <v>1.99</v>
      </c>
      <c r="D13" s="23" t="s">
        <v>2016</v>
      </c>
      <c r="E13" s="23" t="s">
        <v>1986</v>
      </c>
      <c r="F13" s="23" t="s">
        <v>1987</v>
      </c>
      <c r="G13" s="23" t="s">
        <v>176</v>
      </c>
      <c r="H13" s="23" t="s">
        <v>2017</v>
      </c>
    </row>
    <row r="14" customFormat="false" ht="23.85" hidden="false" customHeight="false" outlineLevel="0" collapsed="false">
      <c r="A14" s="23" t="s">
        <v>2020</v>
      </c>
      <c r="B14" s="23" t="s">
        <v>2021</v>
      </c>
      <c r="C14" s="24" t="n">
        <v>14.99</v>
      </c>
      <c r="D14" s="23" t="s">
        <v>2022</v>
      </c>
      <c r="E14" s="23" t="s">
        <v>1986</v>
      </c>
      <c r="F14" s="23" t="s">
        <v>1987</v>
      </c>
      <c r="G14" s="23" t="s">
        <v>176</v>
      </c>
      <c r="H14" s="23" t="s">
        <v>2023</v>
      </c>
    </row>
    <row r="15" customFormat="false" ht="23.85" hidden="false" customHeight="false" outlineLevel="0" collapsed="false">
      <c r="A15" s="23" t="s">
        <v>2024</v>
      </c>
      <c r="B15" s="23" t="s">
        <v>2025</v>
      </c>
      <c r="C15" s="24" t="n">
        <v>24.99</v>
      </c>
      <c r="D15" s="23" t="s">
        <v>2026</v>
      </c>
      <c r="E15" s="23" t="s">
        <v>2027</v>
      </c>
      <c r="F15" s="23" t="s">
        <v>1987</v>
      </c>
      <c r="G15" s="23" t="s">
        <v>176</v>
      </c>
      <c r="H15" s="23" t="s">
        <v>2028</v>
      </c>
    </row>
    <row r="16" customFormat="false" ht="23.85" hidden="false" customHeight="false" outlineLevel="0" collapsed="false">
      <c r="A16" s="23" t="s">
        <v>2029</v>
      </c>
      <c r="B16" s="23" t="s">
        <v>2030</v>
      </c>
      <c r="C16" s="24" t="n">
        <v>0</v>
      </c>
      <c r="D16" s="23" t="s">
        <v>2031</v>
      </c>
      <c r="E16" s="23" t="s">
        <v>2032</v>
      </c>
      <c r="F16" s="23" t="s">
        <v>2012</v>
      </c>
      <c r="G16" s="23" t="s">
        <v>320</v>
      </c>
      <c r="H16" s="23" t="s">
        <v>2033</v>
      </c>
    </row>
    <row r="17" customFormat="false" ht="15" hidden="false" customHeight="false" outlineLevel="0" collapsed="false">
      <c r="A17" s="23" t="s">
        <v>2034</v>
      </c>
      <c r="B17" s="23" t="s">
        <v>2035</v>
      </c>
      <c r="C17" s="24" t="n">
        <v>0</v>
      </c>
      <c r="D17" s="23" t="s">
        <v>2036</v>
      </c>
      <c r="E17" s="23" t="s">
        <v>2032</v>
      </c>
      <c r="F17" s="23" t="s">
        <v>2012</v>
      </c>
      <c r="G17" s="23" t="s">
        <v>320</v>
      </c>
      <c r="H17" s="23" t="s">
        <v>2037</v>
      </c>
    </row>
    <row r="18" customFormat="false" ht="15" hidden="false" customHeight="false" outlineLevel="0" collapsed="false">
      <c r="A18" s="23" t="s">
        <v>2038</v>
      </c>
      <c r="B18" s="23" t="s">
        <v>2039</v>
      </c>
      <c r="C18" s="24" t="n">
        <v>0</v>
      </c>
      <c r="D18" s="23" t="s">
        <v>2040</v>
      </c>
      <c r="E18" s="23" t="s">
        <v>2032</v>
      </c>
      <c r="F18" s="23" t="s">
        <v>2012</v>
      </c>
      <c r="G18" s="23" t="s">
        <v>320</v>
      </c>
      <c r="H18" s="23" t="s">
        <v>2041</v>
      </c>
    </row>
    <row r="19" customFormat="false" ht="15" hidden="false" customHeight="false" outlineLevel="0" collapsed="false">
      <c r="A19" s="23" t="s">
        <v>2042</v>
      </c>
      <c r="B19" s="23" t="s">
        <v>2043</v>
      </c>
      <c r="C19" s="24" t="n">
        <v>0</v>
      </c>
      <c r="D19" s="23" t="s">
        <v>2044</v>
      </c>
      <c r="E19" s="23" t="s">
        <v>2032</v>
      </c>
      <c r="F19" s="23" t="s">
        <v>2012</v>
      </c>
      <c r="G19" s="23" t="s">
        <v>320</v>
      </c>
      <c r="H19" s="23" t="s">
        <v>2045</v>
      </c>
    </row>
    <row r="20" customFormat="false" ht="15" hidden="false" customHeight="false" outlineLevel="0" collapsed="false">
      <c r="A20" s="23" t="s">
        <v>2046</v>
      </c>
      <c r="B20" s="23" t="s">
        <v>2047</v>
      </c>
      <c r="C20" s="24" t="n">
        <v>0</v>
      </c>
      <c r="D20" s="23" t="s">
        <v>2048</v>
      </c>
      <c r="E20" s="23" t="s">
        <v>2032</v>
      </c>
      <c r="F20" s="23" t="s">
        <v>2012</v>
      </c>
      <c r="G20" s="23" t="s">
        <v>320</v>
      </c>
      <c r="H20" s="23" t="s">
        <v>2049</v>
      </c>
    </row>
    <row r="21" customFormat="false" ht="15" hidden="false" customHeight="false" outlineLevel="0" collapsed="false">
      <c r="A21" s="23" t="s">
        <v>2050</v>
      </c>
      <c r="B21" s="23" t="s">
        <v>2051</v>
      </c>
      <c r="C21" s="24" t="n">
        <v>0</v>
      </c>
      <c r="D21" s="23" t="s">
        <v>2052</v>
      </c>
      <c r="E21" s="23" t="s">
        <v>2032</v>
      </c>
      <c r="F21" s="23" t="s">
        <v>2012</v>
      </c>
      <c r="G21" s="23" t="s">
        <v>320</v>
      </c>
      <c r="H21" s="23" t="s">
        <v>2049</v>
      </c>
    </row>
    <row r="22" customFormat="false" ht="35.05" hidden="false" customHeight="false" outlineLevel="0" collapsed="false">
      <c r="A22" s="23" t="s">
        <v>2053</v>
      </c>
      <c r="B22" s="23" t="s">
        <v>2054</v>
      </c>
      <c r="C22" s="25"/>
      <c r="D22" s="23" t="s">
        <v>2055</v>
      </c>
      <c r="E22" s="23" t="s">
        <v>2056</v>
      </c>
      <c r="F22" s="23" t="s">
        <v>2056</v>
      </c>
      <c r="G22" s="23" t="s">
        <v>2056</v>
      </c>
      <c r="H22" s="23" t="s">
        <v>2057</v>
      </c>
    </row>
    <row r="24" customFormat="false" ht="15" hidden="false" customHeight="false" outlineLevel="0" collapsed="false">
      <c r="A24" s="6" t="s">
        <v>2058</v>
      </c>
    </row>
    <row r="25" customFormat="false" ht="15" hidden="false" customHeight="false" outlineLevel="0" collapsed="false">
      <c r="A25" s="9" t="s">
        <v>1961</v>
      </c>
      <c r="B25" s="9"/>
      <c r="C25" s="9" t="s">
        <v>2059</v>
      </c>
      <c r="D25" s="9" t="s">
        <v>2060</v>
      </c>
    </row>
    <row r="26" customFormat="false" ht="15" hidden="false" customHeight="false" outlineLevel="0" collapsed="false">
      <c r="A26" s="14" t="s">
        <v>2061</v>
      </c>
      <c r="B26" s="14"/>
      <c r="C26" s="26" t="n">
        <f aca="false">C6+C7</f>
        <v>9.98</v>
      </c>
      <c r="D26" s="14" t="s">
        <v>2062</v>
      </c>
    </row>
    <row r="27" customFormat="false" ht="15" hidden="false" customHeight="false" outlineLevel="0" collapsed="false">
      <c r="A27" s="14" t="s">
        <v>2063</v>
      </c>
      <c r="B27" s="14"/>
      <c r="C27" s="26" t="n">
        <f aca="false">C5</f>
        <v>9.99</v>
      </c>
      <c r="D27" s="14" t="s">
        <v>2064</v>
      </c>
    </row>
    <row r="28" customFormat="false" ht="15" hidden="false" customHeight="false" outlineLevel="0" collapsed="false">
      <c r="A28" s="14" t="s">
        <v>2065</v>
      </c>
      <c r="B28" s="14"/>
      <c r="C28" s="26" t="str">
        <f aca="false">IF(C26&lt;=C27,"PASS","FAIL")</f>
        <v>PASS</v>
      </c>
      <c r="D28" s="14" t="s">
        <v>2066</v>
      </c>
    </row>
    <row r="29" customFormat="false" ht="15" hidden="false" customHeight="false" outlineLevel="0" collapsed="false">
      <c r="A29" s="14" t="s">
        <v>2067</v>
      </c>
      <c r="B29" s="14"/>
      <c r="C29" s="26" t="n">
        <f aca="false">C5+2*C9</f>
        <v>17.97</v>
      </c>
      <c r="D29" s="14" t="s">
        <v>2068</v>
      </c>
    </row>
    <row r="30" customFormat="false" ht="15" hidden="false" customHeight="false" outlineLevel="0" collapsed="false">
      <c r="A30" s="14" t="s">
        <v>2069</v>
      </c>
      <c r="B30" s="14"/>
      <c r="C30" s="26" t="n">
        <f aca="false">C29-C14</f>
        <v>2.98</v>
      </c>
      <c r="D30" s="14" t="s">
        <v>2070</v>
      </c>
    </row>
    <row r="31" customFormat="false" ht="15" hidden="false" customHeight="false" outlineLevel="0" collapsed="false">
      <c r="A31" s="14" t="s">
        <v>2071</v>
      </c>
      <c r="B31" s="14"/>
      <c r="C31" s="20" t="n">
        <f aca="false">IF(C29=0,0,C30/C29)</f>
        <v>0.165831942125765</v>
      </c>
      <c r="D31" s="14" t="s">
        <v>2072</v>
      </c>
    </row>
  </sheetData>
  <autoFilter ref="A4:H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6" min="3" style="0" width="16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2" t="s">
        <v>2073</v>
      </c>
    </row>
    <row r="2" customFormat="false" ht="15" hidden="false" customHeight="false" outlineLevel="0" collapsed="false">
      <c r="A2" s="13" t="s">
        <v>2074</v>
      </c>
    </row>
    <row r="4" customFormat="false" ht="26.85" hidden="false" customHeight="false" outlineLevel="0" collapsed="false">
      <c r="A4" s="9" t="s">
        <v>2075</v>
      </c>
      <c r="B4" s="9" t="s">
        <v>2076</v>
      </c>
      <c r="C4" s="9" t="s">
        <v>2077</v>
      </c>
      <c r="D4" s="9" t="s">
        <v>2078</v>
      </c>
      <c r="E4" s="9" t="s">
        <v>2079</v>
      </c>
      <c r="F4" s="9" t="s">
        <v>2080</v>
      </c>
      <c r="G4" s="9" t="s">
        <v>1982</v>
      </c>
    </row>
    <row r="5" customFormat="false" ht="23.85" hidden="false" customHeight="false" outlineLevel="0" collapsed="false">
      <c r="A5" s="10" t="s">
        <v>2081</v>
      </c>
      <c r="B5" s="10" t="s">
        <v>2082</v>
      </c>
      <c r="C5" s="27" t="n">
        <v>22000</v>
      </c>
      <c r="D5" s="27" t="n">
        <v>53000</v>
      </c>
      <c r="E5" s="27" t="n">
        <v>98000</v>
      </c>
      <c r="F5" s="27" t="n">
        <v>98000</v>
      </c>
      <c r="G5" s="10" t="s">
        <v>2083</v>
      </c>
    </row>
    <row r="6" customFormat="false" ht="23.85" hidden="false" customHeight="false" outlineLevel="0" collapsed="false">
      <c r="A6" s="10" t="s">
        <v>2081</v>
      </c>
      <c r="B6" s="10" t="s">
        <v>2084</v>
      </c>
      <c r="C6" s="27" t="n">
        <v>1500</v>
      </c>
      <c r="D6" s="27" t="n">
        <v>3000</v>
      </c>
      <c r="E6" s="27" t="n">
        <v>3000</v>
      </c>
      <c r="F6" s="27" t="n">
        <v>3000</v>
      </c>
      <c r="G6" s="10"/>
    </row>
    <row r="7" customFormat="false" ht="23.85" hidden="false" customHeight="false" outlineLevel="0" collapsed="false">
      <c r="A7" s="10" t="s">
        <v>2081</v>
      </c>
      <c r="B7" s="10" t="s">
        <v>2085</v>
      </c>
      <c r="C7" s="27" t="n">
        <v>500</v>
      </c>
      <c r="D7" s="27" t="n">
        <v>1000</v>
      </c>
      <c r="E7" s="27" t="n">
        <v>1000</v>
      </c>
      <c r="F7" s="27" t="n">
        <v>1000</v>
      </c>
      <c r="G7" s="10"/>
    </row>
    <row r="8" customFormat="false" ht="23.85" hidden="false" customHeight="false" outlineLevel="0" collapsed="false">
      <c r="A8" s="10" t="s">
        <v>2081</v>
      </c>
      <c r="B8" s="10" t="s">
        <v>2086</v>
      </c>
      <c r="C8" s="27" t="n">
        <v>1000</v>
      </c>
      <c r="D8" s="27" t="n">
        <v>2000</v>
      </c>
      <c r="E8" s="27" t="n">
        <v>2000</v>
      </c>
      <c r="F8" s="27" t="n">
        <v>2000</v>
      </c>
      <c r="G8" s="10"/>
    </row>
    <row r="9" customFormat="false" ht="23.85" hidden="false" customHeight="false" outlineLevel="0" collapsed="false">
      <c r="A9" s="10" t="s">
        <v>2081</v>
      </c>
      <c r="B9" s="10" t="s">
        <v>2087</v>
      </c>
      <c r="C9" s="27" t="n">
        <v>0</v>
      </c>
      <c r="D9" s="27" t="n">
        <v>1000</v>
      </c>
      <c r="E9" s="27" t="n">
        <v>1000</v>
      </c>
      <c r="F9" s="27" t="n">
        <v>1000</v>
      </c>
      <c r="G9" s="10" t="s">
        <v>2088</v>
      </c>
    </row>
    <row r="10" customFormat="false" ht="15" hidden="false" customHeight="false" outlineLevel="0" collapsed="false">
      <c r="A10" s="28" t="s">
        <v>2081</v>
      </c>
      <c r="B10" s="28" t="s">
        <v>2089</v>
      </c>
      <c r="C10" s="29" t="n">
        <f aca="false">SUM(C5:C9)</f>
        <v>25000</v>
      </c>
      <c r="D10" s="29" t="n">
        <f aca="false">SUM(D5:D9)</f>
        <v>60000</v>
      </c>
      <c r="E10" s="29" t="n">
        <f aca="false">SUM(E5:E9)</f>
        <v>105000</v>
      </c>
      <c r="F10" s="29" t="n">
        <f aca="false">SUM(F5:F9)</f>
        <v>105000</v>
      </c>
      <c r="G10" s="28"/>
    </row>
    <row r="11" customFormat="false" ht="23.85" hidden="false" customHeight="false" outlineLevel="0" collapsed="false">
      <c r="A11" s="10" t="s">
        <v>2090</v>
      </c>
      <c r="B11" s="10" t="s">
        <v>2091</v>
      </c>
      <c r="C11" s="27" t="n">
        <v>60000</v>
      </c>
      <c r="D11" s="27" t="n">
        <v>210000</v>
      </c>
      <c r="E11" s="27" t="n">
        <v>385000</v>
      </c>
      <c r="F11" s="27" t="n">
        <v>385000</v>
      </c>
      <c r="G11" s="10" t="s">
        <v>2092</v>
      </c>
    </row>
    <row r="12" customFormat="false" ht="23.85" hidden="false" customHeight="false" outlineLevel="0" collapsed="false">
      <c r="A12" s="10" t="s">
        <v>2090</v>
      </c>
      <c r="B12" s="10" t="s">
        <v>2093</v>
      </c>
      <c r="C12" s="27" t="n">
        <v>8000</v>
      </c>
      <c r="D12" s="27" t="n">
        <v>20000</v>
      </c>
      <c r="E12" s="27" t="n">
        <v>20000</v>
      </c>
      <c r="F12" s="27" t="n">
        <v>20000</v>
      </c>
      <c r="G12" s="10" t="s">
        <v>2094</v>
      </c>
    </row>
    <row r="13" customFormat="false" ht="23.85" hidden="false" customHeight="false" outlineLevel="0" collapsed="false">
      <c r="A13" s="10" t="s">
        <v>2090</v>
      </c>
      <c r="B13" s="10" t="s">
        <v>2095</v>
      </c>
      <c r="C13" s="27" t="n">
        <v>2000</v>
      </c>
      <c r="D13" s="27" t="n">
        <v>5000</v>
      </c>
      <c r="E13" s="27" t="n">
        <v>5000</v>
      </c>
      <c r="F13" s="27" t="n">
        <v>5000</v>
      </c>
      <c r="G13" s="10"/>
    </row>
    <row r="14" customFormat="false" ht="23.85" hidden="false" customHeight="false" outlineLevel="0" collapsed="false">
      <c r="A14" s="10" t="s">
        <v>2090</v>
      </c>
      <c r="B14" s="10" t="s">
        <v>2096</v>
      </c>
      <c r="C14" s="27" t="n">
        <v>5000</v>
      </c>
      <c r="D14" s="27" t="n">
        <v>15000</v>
      </c>
      <c r="E14" s="27" t="n">
        <v>15000</v>
      </c>
      <c r="F14" s="27" t="n">
        <v>15000</v>
      </c>
      <c r="G14" s="10"/>
    </row>
    <row r="15" customFormat="false" ht="23.85" hidden="false" customHeight="false" outlineLevel="0" collapsed="false">
      <c r="A15" s="10" t="s">
        <v>2090</v>
      </c>
      <c r="B15" s="10" t="s">
        <v>2097</v>
      </c>
      <c r="C15" s="27" t="n">
        <v>3000</v>
      </c>
      <c r="D15" s="27" t="n">
        <v>6000</v>
      </c>
      <c r="E15" s="27" t="n">
        <v>6000</v>
      </c>
      <c r="F15" s="27" t="n">
        <v>6000</v>
      </c>
      <c r="G15" s="10"/>
    </row>
    <row r="16" customFormat="false" ht="23.85" hidden="false" customHeight="false" outlineLevel="0" collapsed="false">
      <c r="A16" s="10" t="s">
        <v>2090</v>
      </c>
      <c r="B16" s="10" t="s">
        <v>2098</v>
      </c>
      <c r="C16" s="27" t="n">
        <v>4000</v>
      </c>
      <c r="D16" s="27" t="n">
        <v>8000</v>
      </c>
      <c r="E16" s="27" t="n">
        <v>8000</v>
      </c>
      <c r="F16" s="27" t="n">
        <v>8000</v>
      </c>
      <c r="G16" s="10"/>
    </row>
    <row r="17" customFormat="false" ht="15" hidden="false" customHeight="false" outlineLevel="0" collapsed="false">
      <c r="A17" s="28" t="s">
        <v>2090</v>
      </c>
      <c r="B17" s="28" t="s">
        <v>2089</v>
      </c>
      <c r="C17" s="29" t="n">
        <f aca="false">SUM(C11:C16)</f>
        <v>82000</v>
      </c>
      <c r="D17" s="29" t="n">
        <f aca="false">SUM(D11:D16)</f>
        <v>264000</v>
      </c>
      <c r="E17" s="29" t="n">
        <f aca="false">SUM(E11:E16)</f>
        <v>439000</v>
      </c>
      <c r="F17" s="29" t="n">
        <f aca="false">SUM(F11:F16)</f>
        <v>439000</v>
      </c>
      <c r="G17" s="28"/>
    </row>
    <row r="18" customFormat="false" ht="23.85" hidden="false" customHeight="false" outlineLevel="0" collapsed="false">
      <c r="A18" s="10" t="s">
        <v>2099</v>
      </c>
      <c r="B18" s="10" t="s">
        <v>2100</v>
      </c>
      <c r="C18" s="27" t="n">
        <v>288000</v>
      </c>
      <c r="D18" s="27" t="n">
        <v>451000</v>
      </c>
      <c r="E18" s="27" t="n">
        <v>634000</v>
      </c>
      <c r="F18" s="27" t="n">
        <v>827000</v>
      </c>
      <c r="G18" s="10" t="s">
        <v>2101</v>
      </c>
    </row>
    <row r="19" customFormat="false" ht="23.85" hidden="false" customHeight="false" outlineLevel="0" collapsed="false">
      <c r="A19" s="10" t="s">
        <v>2099</v>
      </c>
      <c r="B19" s="10" t="s">
        <v>2102</v>
      </c>
      <c r="C19" s="27" t="n">
        <v>72000</v>
      </c>
      <c r="D19" s="27" t="n">
        <v>144000</v>
      </c>
      <c r="E19" s="27" t="n">
        <v>144000</v>
      </c>
      <c r="F19" s="27" t="n">
        <v>144000</v>
      </c>
      <c r="G19" s="10" t="s">
        <v>2103</v>
      </c>
    </row>
    <row r="20" customFormat="false" ht="23.85" hidden="false" customHeight="false" outlineLevel="0" collapsed="false">
      <c r="A20" s="10" t="s">
        <v>2099</v>
      </c>
      <c r="B20" s="10" t="s">
        <v>2104</v>
      </c>
      <c r="C20" s="27" t="n">
        <v>8000</v>
      </c>
      <c r="D20" s="27" t="n">
        <v>15000</v>
      </c>
      <c r="E20" s="27" t="n">
        <v>15000</v>
      </c>
      <c r="F20" s="27" t="n">
        <v>15000</v>
      </c>
      <c r="G20" s="10"/>
    </row>
    <row r="21" customFormat="false" ht="23.85" hidden="false" customHeight="false" outlineLevel="0" collapsed="false">
      <c r="A21" s="10" t="s">
        <v>2099</v>
      </c>
      <c r="B21" s="10" t="s">
        <v>2105</v>
      </c>
      <c r="C21" s="27" t="n">
        <v>8000</v>
      </c>
      <c r="D21" s="27" t="n">
        <v>20000</v>
      </c>
      <c r="E21" s="27" t="n">
        <v>25000</v>
      </c>
      <c r="F21" s="27" t="n">
        <v>25000</v>
      </c>
      <c r="G21" s="10"/>
    </row>
    <row r="22" customFormat="false" ht="23.85" hidden="false" customHeight="false" outlineLevel="0" collapsed="false">
      <c r="A22" s="10" t="s">
        <v>2099</v>
      </c>
      <c r="B22" s="10" t="s">
        <v>2106</v>
      </c>
      <c r="C22" s="27" t="n">
        <v>7000</v>
      </c>
      <c r="D22" s="27" t="n">
        <v>30000</v>
      </c>
      <c r="E22" s="27" t="n">
        <v>30000</v>
      </c>
      <c r="F22" s="27" t="n">
        <v>30000</v>
      </c>
      <c r="G22" s="10"/>
    </row>
    <row r="23" customFormat="false" ht="23.85" hidden="false" customHeight="false" outlineLevel="0" collapsed="false">
      <c r="A23" s="10" t="s">
        <v>2099</v>
      </c>
      <c r="B23" s="10" t="s">
        <v>2107</v>
      </c>
      <c r="C23" s="27" t="n">
        <v>5000</v>
      </c>
      <c r="D23" s="27" t="n">
        <v>15000</v>
      </c>
      <c r="E23" s="27" t="n">
        <v>20000</v>
      </c>
      <c r="F23" s="27" t="n">
        <v>20000</v>
      </c>
      <c r="G23" s="10"/>
    </row>
    <row r="24" customFormat="false" ht="23.85" hidden="false" customHeight="false" outlineLevel="0" collapsed="false">
      <c r="A24" s="10" t="s">
        <v>2099</v>
      </c>
      <c r="B24" s="10" t="s">
        <v>2108</v>
      </c>
      <c r="C24" s="27" t="n">
        <v>4000</v>
      </c>
      <c r="D24" s="27" t="n">
        <v>8000</v>
      </c>
      <c r="E24" s="27" t="n">
        <v>8000</v>
      </c>
      <c r="F24" s="27" t="n">
        <v>8000</v>
      </c>
      <c r="G24" s="10"/>
    </row>
    <row r="25" customFormat="false" ht="23.85" hidden="false" customHeight="false" outlineLevel="0" collapsed="false">
      <c r="A25" s="10" t="s">
        <v>2099</v>
      </c>
      <c r="B25" s="10" t="s">
        <v>2109</v>
      </c>
      <c r="C25" s="27" t="n">
        <v>3000</v>
      </c>
      <c r="D25" s="27" t="n">
        <v>8000</v>
      </c>
      <c r="E25" s="27" t="n">
        <v>8000</v>
      </c>
      <c r="F25" s="27" t="n">
        <v>8000</v>
      </c>
      <c r="G25" s="10"/>
    </row>
    <row r="26" customFormat="false" ht="23.85" hidden="false" customHeight="false" outlineLevel="0" collapsed="false">
      <c r="A26" s="10" t="s">
        <v>2099</v>
      </c>
      <c r="B26" s="10" t="s">
        <v>2110</v>
      </c>
      <c r="C26" s="27" t="n">
        <v>3000</v>
      </c>
      <c r="D26" s="27" t="n">
        <v>10000</v>
      </c>
      <c r="E26" s="27" t="n">
        <v>0</v>
      </c>
      <c r="F26" s="27" t="n">
        <v>0</v>
      </c>
      <c r="G26" s="10" t="s">
        <v>2111</v>
      </c>
    </row>
    <row r="27" customFormat="false" ht="15" hidden="false" customHeight="false" outlineLevel="0" collapsed="false">
      <c r="A27" s="28" t="s">
        <v>2099</v>
      </c>
      <c r="B27" s="28" t="s">
        <v>2089</v>
      </c>
      <c r="C27" s="29" t="n">
        <f aca="false">SUM(C18:C26)</f>
        <v>398000</v>
      </c>
      <c r="D27" s="29" t="n">
        <f aca="false">SUM(D18:D26)</f>
        <v>701000</v>
      </c>
      <c r="E27" s="29" t="n">
        <f aca="false">SUM(E18:E26)</f>
        <v>884000</v>
      </c>
      <c r="F27" s="29" t="n">
        <f aca="false">SUM(F18:F26)</f>
        <v>1077000</v>
      </c>
      <c r="G27" s="28"/>
    </row>
    <row r="28" customFormat="false" ht="23.85" hidden="false" customHeight="false" outlineLevel="0" collapsed="false">
      <c r="A28" s="30" t="s">
        <v>2112</v>
      </c>
      <c r="B28" s="30" t="s">
        <v>2113</v>
      </c>
      <c r="C28" s="31" t="n">
        <f aca="false">C10+C17+C27</f>
        <v>505000</v>
      </c>
      <c r="D28" s="31" t="n">
        <f aca="false">D10+D17+D27</f>
        <v>1025000</v>
      </c>
      <c r="E28" s="31" t="n">
        <f aca="false">E10+E17+E27</f>
        <v>1428000</v>
      </c>
      <c r="F28" s="31" t="n">
        <f aca="false">F10+F17+F27</f>
        <v>1621000</v>
      </c>
      <c r="G28" s="32" t="s">
        <v>2114</v>
      </c>
    </row>
    <row r="30" customFormat="false" ht="15" hidden="false" customHeight="false" outlineLevel="0" collapsed="false">
      <c r="A30" s="6" t="s">
        <v>2115</v>
      </c>
    </row>
    <row r="31" customFormat="false" ht="26.85" hidden="false" customHeight="false" outlineLevel="0" collapsed="false">
      <c r="A31" s="9" t="s">
        <v>2075</v>
      </c>
      <c r="B31" s="9" t="s">
        <v>2076</v>
      </c>
      <c r="C31" s="9" t="s">
        <v>2116</v>
      </c>
      <c r="D31" s="9" t="s">
        <v>2117</v>
      </c>
      <c r="E31" s="9" t="s">
        <v>2118</v>
      </c>
      <c r="F31" s="9"/>
      <c r="G31" s="9" t="s">
        <v>1982</v>
      </c>
    </row>
    <row r="32" customFormat="false" ht="15" hidden="false" customHeight="false" outlineLevel="0" collapsed="false">
      <c r="A32" s="14" t="s">
        <v>2119</v>
      </c>
      <c r="B32" s="14" t="s">
        <v>2120</v>
      </c>
      <c r="C32" s="27" t="n">
        <v>48000</v>
      </c>
      <c r="D32" s="27" t="n">
        <v>77000</v>
      </c>
      <c r="E32" s="27" t="n">
        <v>123000</v>
      </c>
      <c r="F32" s="33"/>
      <c r="G32" s="33"/>
    </row>
    <row r="33" customFormat="false" ht="15" hidden="false" customHeight="false" outlineLevel="0" collapsed="false">
      <c r="A33" s="14" t="s">
        <v>2119</v>
      </c>
      <c r="B33" s="14" t="s">
        <v>2121</v>
      </c>
      <c r="C33" s="27" t="n">
        <v>1000</v>
      </c>
      <c r="D33" s="27" t="n">
        <v>3000</v>
      </c>
      <c r="E33" s="27" t="n">
        <v>3000</v>
      </c>
      <c r="F33" s="33"/>
      <c r="G33" s="33"/>
    </row>
    <row r="34" customFormat="false" ht="15" hidden="false" customHeight="false" outlineLevel="0" collapsed="false">
      <c r="A34" s="14" t="s">
        <v>2119</v>
      </c>
      <c r="B34" s="14" t="s">
        <v>2122</v>
      </c>
      <c r="C34" s="27" t="n">
        <v>5000</v>
      </c>
      <c r="D34" s="27" t="n">
        <v>10000</v>
      </c>
      <c r="E34" s="27" t="n">
        <v>10000</v>
      </c>
      <c r="F34" s="33"/>
      <c r="G34" s="33"/>
    </row>
    <row r="35" customFormat="false" ht="15" hidden="false" customHeight="false" outlineLevel="0" collapsed="false">
      <c r="A35" s="28" t="s">
        <v>2119</v>
      </c>
      <c r="B35" s="28" t="s">
        <v>2123</v>
      </c>
      <c r="C35" s="29" t="n">
        <f aca="false">SUM(C32:C34)</f>
        <v>54000</v>
      </c>
      <c r="D35" s="29" t="n">
        <f aca="false">SUM(D32:D34)</f>
        <v>90000</v>
      </c>
      <c r="E35" s="29" t="n">
        <f aca="false">SUM(E32:E34)</f>
        <v>136000</v>
      </c>
      <c r="F35" s="28"/>
      <c r="G35" s="28"/>
    </row>
    <row r="36" customFormat="false" ht="15" hidden="false" customHeight="false" outlineLevel="0" collapsed="false">
      <c r="A36" s="21" t="s">
        <v>2124</v>
      </c>
      <c r="B36" s="21" t="s">
        <v>2125</v>
      </c>
      <c r="C36" s="34" t="n">
        <f aca="false">C35*12</f>
        <v>648000</v>
      </c>
      <c r="D36" s="34" t="n">
        <f aca="false">D35*12</f>
        <v>1080000</v>
      </c>
      <c r="E36" s="34" t="n">
        <f aca="false">E35*12</f>
        <v>1632000</v>
      </c>
      <c r="F36" s="21"/>
      <c r="G36" s="21"/>
    </row>
    <row r="38" customFormat="false" ht="15" hidden="false" customHeight="false" outlineLevel="0" collapsed="false">
      <c r="A38" s="19" t="s">
        <v>2126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2" t="s">
        <v>2127</v>
      </c>
    </row>
    <row r="2" customFormat="false" ht="15" hidden="false" customHeight="false" outlineLevel="0" collapsed="false">
      <c r="A2" s="13" t="s">
        <v>2128</v>
      </c>
    </row>
    <row r="4" customFormat="false" ht="26.85" hidden="false" customHeight="false" outlineLevel="0" collapsed="false">
      <c r="A4" s="9" t="s">
        <v>2075</v>
      </c>
      <c r="B4" s="9" t="s">
        <v>2129</v>
      </c>
      <c r="C4" s="9" t="s">
        <v>2130</v>
      </c>
      <c r="D4" s="9" t="s">
        <v>2131</v>
      </c>
      <c r="E4" s="9" t="s">
        <v>2132</v>
      </c>
      <c r="F4" s="9" t="s">
        <v>2133</v>
      </c>
      <c r="G4" s="9" t="s">
        <v>2134</v>
      </c>
      <c r="H4" s="9" t="s">
        <v>2135</v>
      </c>
      <c r="I4" s="9" t="s">
        <v>2136</v>
      </c>
    </row>
    <row r="5" customFormat="false" ht="23.85" hidden="false" customHeight="false" outlineLevel="0" collapsed="false">
      <c r="A5" s="10" t="s">
        <v>2137</v>
      </c>
      <c r="B5" s="35" t="n">
        <v>46296</v>
      </c>
      <c r="C5" s="35" t="n">
        <v>46325</v>
      </c>
      <c r="D5" s="10" t="n">
        <f aca="false">ROUND((C5-B5)/7,1)</f>
        <v>4.1</v>
      </c>
      <c r="E5" s="10" t="s">
        <v>2138</v>
      </c>
      <c r="F5" s="10" t="s">
        <v>2139</v>
      </c>
      <c r="G5" s="35" t="n">
        <v>46332</v>
      </c>
      <c r="H5" s="10" t="s">
        <v>2140</v>
      </c>
      <c r="I5" s="10" t="s">
        <v>2141</v>
      </c>
    </row>
    <row r="6" customFormat="false" ht="35.05" hidden="false" customHeight="false" outlineLevel="0" collapsed="false">
      <c r="A6" s="10" t="s">
        <v>2142</v>
      </c>
      <c r="B6" s="35" t="n">
        <v>46335</v>
      </c>
      <c r="C6" s="35" t="n">
        <v>46395</v>
      </c>
      <c r="D6" s="10" t="n">
        <f aca="false">ROUND((C6-B6)/7,1)</f>
        <v>8.6</v>
      </c>
      <c r="E6" s="10" t="s">
        <v>2143</v>
      </c>
      <c r="F6" s="10" t="s">
        <v>2144</v>
      </c>
      <c r="G6" s="35" t="n">
        <v>46395</v>
      </c>
      <c r="H6" s="10" t="s">
        <v>2145</v>
      </c>
      <c r="I6" s="10" t="s">
        <v>2146</v>
      </c>
    </row>
    <row r="7" customFormat="false" ht="35.05" hidden="false" customHeight="false" outlineLevel="0" collapsed="false">
      <c r="A7" s="10" t="s">
        <v>2147</v>
      </c>
      <c r="B7" s="35" t="n">
        <v>46398</v>
      </c>
      <c r="C7" s="35" t="n">
        <v>46552</v>
      </c>
      <c r="D7" s="10" t="n">
        <f aca="false">ROUND((C7-B7)/7,1)</f>
        <v>22</v>
      </c>
      <c r="E7" s="10" t="s">
        <v>2148</v>
      </c>
      <c r="F7" s="10" t="s">
        <v>2149</v>
      </c>
      <c r="G7" s="35" t="n">
        <v>46521</v>
      </c>
      <c r="H7" s="10" t="s">
        <v>2150</v>
      </c>
      <c r="I7" s="10" t="s">
        <v>2151</v>
      </c>
    </row>
    <row r="8" customFormat="false" ht="35.05" hidden="false" customHeight="false" outlineLevel="0" collapsed="false">
      <c r="A8" s="10" t="s">
        <v>2152</v>
      </c>
      <c r="B8" s="35" t="n">
        <v>46552</v>
      </c>
      <c r="C8" s="35" t="n">
        <v>46672</v>
      </c>
      <c r="D8" s="10" t="n">
        <f aca="false">ROUND((C8-B8)/7,1)</f>
        <v>17.1</v>
      </c>
      <c r="E8" s="10" t="s">
        <v>2153</v>
      </c>
      <c r="F8" s="10" t="s">
        <v>2154</v>
      </c>
      <c r="G8" s="35" t="n">
        <v>46672</v>
      </c>
      <c r="H8" s="10" t="s">
        <v>2155</v>
      </c>
      <c r="I8" s="10" t="s">
        <v>2156</v>
      </c>
    </row>
    <row r="9" customFormat="false" ht="35.05" hidden="false" customHeight="false" outlineLevel="0" collapsed="false">
      <c r="A9" s="10" t="s">
        <v>2157</v>
      </c>
      <c r="B9" s="35" t="n">
        <v>46672</v>
      </c>
      <c r="C9" s="35" t="n">
        <v>46934</v>
      </c>
      <c r="D9" s="10" t="n">
        <f aca="false">ROUND((C9-B9)/7,1)</f>
        <v>37.4</v>
      </c>
      <c r="E9" s="10" t="s">
        <v>2158</v>
      </c>
      <c r="F9" s="10" t="s">
        <v>2159</v>
      </c>
      <c r="G9" s="35" t="n">
        <v>46762</v>
      </c>
      <c r="H9" s="10" t="s">
        <v>2160</v>
      </c>
      <c r="I9" s="10" t="s">
        <v>2161</v>
      </c>
    </row>
    <row r="11" customFormat="false" ht="15" hidden="false" customHeight="false" outlineLevel="0" collapsed="false">
      <c r="A11" s="6" t="s">
        <v>2162</v>
      </c>
    </row>
    <row r="12" customFormat="false" ht="15" hidden="false" customHeight="false" outlineLevel="0" collapsed="false">
      <c r="A12" s="7" t="s">
        <v>2163</v>
      </c>
      <c r="D12" s="7" t="n">
        <f aca="false">ROUND((G8-B6)/30.44,1)</f>
        <v>11.1</v>
      </c>
    </row>
    <row r="13" customFormat="false" ht="15" hidden="false" customHeight="false" outlineLevel="0" collapsed="false">
      <c r="A13" s="7" t="s">
        <v>2164</v>
      </c>
      <c r="D13" s="7" t="str">
        <f aca="false">IF(AND(D12&gt;=9,D12&lt;=14),"YES","NO")</f>
        <v>YES</v>
      </c>
    </row>
    <row r="15" customFormat="false" ht="15" hidden="false" customHeight="false" outlineLevel="0" collapsed="false">
      <c r="A15" s="6" t="s">
        <v>2165</v>
      </c>
    </row>
    <row r="16" customFormat="false" ht="15" hidden="false" customHeight="false" outlineLevel="0" collapsed="false">
      <c r="A16" s="9" t="s">
        <v>2075</v>
      </c>
      <c r="B16" s="9" t="s">
        <v>2166</v>
      </c>
      <c r="C16" s="9" t="s">
        <v>2129</v>
      </c>
      <c r="D16" s="9" t="s">
        <v>2130</v>
      </c>
      <c r="E16" s="9" t="s">
        <v>2167</v>
      </c>
      <c r="F16" s="9" t="s">
        <v>2168</v>
      </c>
      <c r="G16" s="9" t="s">
        <v>1979</v>
      </c>
    </row>
    <row r="17" customFormat="false" ht="23.85" hidden="false" customHeight="false" outlineLevel="0" collapsed="false">
      <c r="A17" s="10" t="s">
        <v>2137</v>
      </c>
      <c r="B17" s="10" t="s">
        <v>2169</v>
      </c>
      <c r="C17" s="35" t="n">
        <v>46296</v>
      </c>
      <c r="D17" s="35" t="n">
        <v>46325</v>
      </c>
      <c r="E17" s="10" t="n">
        <f aca="false">D17-C17</f>
        <v>29</v>
      </c>
      <c r="F17" s="10"/>
      <c r="G17" s="10" t="s">
        <v>2166</v>
      </c>
    </row>
    <row r="18" customFormat="false" ht="23.85" hidden="false" customHeight="false" outlineLevel="0" collapsed="false">
      <c r="A18" s="10" t="s">
        <v>2137</v>
      </c>
      <c r="B18" s="10" t="s">
        <v>2170</v>
      </c>
      <c r="C18" s="35" t="n">
        <v>46332</v>
      </c>
      <c r="D18" s="35" t="n">
        <v>46332</v>
      </c>
      <c r="E18" s="10" t="n">
        <f aca="false">D18-C18</f>
        <v>0</v>
      </c>
      <c r="F18" s="10"/>
      <c r="G18" s="10" t="s">
        <v>2171</v>
      </c>
    </row>
    <row r="19" customFormat="false" ht="35.05" hidden="false" customHeight="false" outlineLevel="0" collapsed="false">
      <c r="A19" s="10" t="s">
        <v>2142</v>
      </c>
      <c r="B19" s="10" t="s">
        <v>2172</v>
      </c>
      <c r="C19" s="35" t="n">
        <v>46335</v>
      </c>
      <c r="D19" s="35" t="n">
        <v>46353</v>
      </c>
      <c r="E19" s="10" t="n">
        <f aca="false">D19-C19</f>
        <v>18</v>
      </c>
      <c r="F19" s="10"/>
      <c r="G19" s="10" t="s">
        <v>2166</v>
      </c>
    </row>
    <row r="20" customFormat="false" ht="23.85" hidden="false" customHeight="false" outlineLevel="0" collapsed="false">
      <c r="A20" s="10" t="s">
        <v>2142</v>
      </c>
      <c r="B20" s="10" t="s">
        <v>2173</v>
      </c>
      <c r="C20" s="35" t="n">
        <v>46349</v>
      </c>
      <c r="D20" s="35" t="n">
        <v>46388</v>
      </c>
      <c r="E20" s="10" t="n">
        <f aca="false">D20-C20</f>
        <v>39</v>
      </c>
      <c r="F20" s="10"/>
      <c r="G20" s="10" t="s">
        <v>2166</v>
      </c>
    </row>
    <row r="21" customFormat="false" ht="23.85" hidden="false" customHeight="false" outlineLevel="0" collapsed="false">
      <c r="A21" s="10" t="s">
        <v>2142</v>
      </c>
      <c r="B21" s="10" t="s">
        <v>2174</v>
      </c>
      <c r="C21" s="35" t="n">
        <v>46342</v>
      </c>
      <c r="D21" s="35" t="n">
        <v>46388</v>
      </c>
      <c r="E21" s="10" t="n">
        <f aca="false">D21-C21</f>
        <v>46</v>
      </c>
      <c r="F21" s="10"/>
      <c r="G21" s="10" t="s">
        <v>2166</v>
      </c>
    </row>
    <row r="22" customFormat="false" ht="23.85" hidden="false" customHeight="false" outlineLevel="0" collapsed="false">
      <c r="A22" s="10" t="s">
        <v>2142</v>
      </c>
      <c r="B22" s="10" t="s">
        <v>2175</v>
      </c>
      <c r="C22" s="35" t="n">
        <v>46384</v>
      </c>
      <c r="D22" s="35" t="n">
        <v>46395</v>
      </c>
      <c r="E22" s="10" t="n">
        <f aca="false">D22-C22</f>
        <v>11</v>
      </c>
      <c r="F22" s="10"/>
      <c r="G22" s="10" t="s">
        <v>2166</v>
      </c>
    </row>
    <row r="23" customFormat="false" ht="23.85" hidden="false" customHeight="false" outlineLevel="0" collapsed="false">
      <c r="A23" s="10" t="s">
        <v>2142</v>
      </c>
      <c r="B23" s="10" t="s">
        <v>2176</v>
      </c>
      <c r="C23" s="35" t="n">
        <v>46395</v>
      </c>
      <c r="D23" s="35" t="n">
        <v>46395</v>
      </c>
      <c r="E23" s="10" t="n">
        <f aca="false">D23-C23</f>
        <v>0</v>
      </c>
      <c r="F23" s="10"/>
      <c r="G23" s="10" t="s">
        <v>2171</v>
      </c>
    </row>
    <row r="24" customFormat="false" ht="23.85" hidden="false" customHeight="false" outlineLevel="0" collapsed="false">
      <c r="A24" s="10" t="s">
        <v>2147</v>
      </c>
      <c r="B24" s="10" t="s">
        <v>2177</v>
      </c>
      <c r="C24" s="35" t="n">
        <v>46398</v>
      </c>
      <c r="D24" s="35" t="n">
        <v>46493</v>
      </c>
      <c r="E24" s="10" t="n">
        <f aca="false">D24-C24</f>
        <v>95</v>
      </c>
      <c r="F24" s="10"/>
      <c r="G24" s="10" t="s">
        <v>2166</v>
      </c>
    </row>
    <row r="25" customFormat="false" ht="35.05" hidden="false" customHeight="false" outlineLevel="0" collapsed="false">
      <c r="A25" s="10" t="s">
        <v>2147</v>
      </c>
      <c r="B25" s="10" t="s">
        <v>2178</v>
      </c>
      <c r="C25" s="35" t="n">
        <v>46433</v>
      </c>
      <c r="D25" s="35" t="n">
        <v>46507</v>
      </c>
      <c r="E25" s="10" t="n">
        <f aca="false">D25-C25</f>
        <v>74</v>
      </c>
      <c r="F25" s="10"/>
      <c r="G25" s="10" t="s">
        <v>2166</v>
      </c>
    </row>
    <row r="26" customFormat="false" ht="23.85" hidden="false" customHeight="false" outlineLevel="0" collapsed="false">
      <c r="A26" s="10" t="s">
        <v>2147</v>
      </c>
      <c r="B26" s="10" t="s">
        <v>2179</v>
      </c>
      <c r="C26" s="35" t="n">
        <v>46398</v>
      </c>
      <c r="D26" s="35" t="n">
        <v>46521</v>
      </c>
      <c r="E26" s="10" t="n">
        <f aca="false">D26-C26</f>
        <v>123</v>
      </c>
      <c r="F26" s="10" t="s">
        <v>94</v>
      </c>
      <c r="G26" s="10" t="s">
        <v>2166</v>
      </c>
    </row>
    <row r="27" customFormat="false" ht="35.05" hidden="false" customHeight="false" outlineLevel="0" collapsed="false">
      <c r="A27" s="10" t="s">
        <v>2147</v>
      </c>
      <c r="B27" s="10" t="s">
        <v>2180</v>
      </c>
      <c r="C27" s="35" t="n">
        <v>46447</v>
      </c>
      <c r="D27" s="35" t="n">
        <v>46514</v>
      </c>
      <c r="E27" s="10" t="n">
        <f aca="false">D27-C27</f>
        <v>67</v>
      </c>
      <c r="F27" s="10"/>
      <c r="G27" s="10" t="s">
        <v>2166</v>
      </c>
    </row>
    <row r="28" customFormat="false" ht="35.05" hidden="false" customHeight="false" outlineLevel="0" collapsed="false">
      <c r="A28" s="10" t="s">
        <v>2147</v>
      </c>
      <c r="B28" s="10" t="s">
        <v>2181</v>
      </c>
      <c r="C28" s="35" t="n">
        <v>46496</v>
      </c>
      <c r="D28" s="35" t="n">
        <v>46521</v>
      </c>
      <c r="E28" s="10" t="n">
        <f aca="false">D28-C28</f>
        <v>25</v>
      </c>
      <c r="F28" s="10"/>
      <c r="G28" s="10" t="s">
        <v>2166</v>
      </c>
    </row>
    <row r="29" customFormat="false" ht="15" hidden="false" customHeight="false" outlineLevel="0" collapsed="false">
      <c r="A29" s="10" t="s">
        <v>2147</v>
      </c>
      <c r="B29" s="10" t="s">
        <v>2182</v>
      </c>
      <c r="C29" s="35" t="n">
        <v>46521</v>
      </c>
      <c r="D29" s="35" t="n">
        <v>46521</v>
      </c>
      <c r="E29" s="10" t="n">
        <f aca="false">D29-C29</f>
        <v>0</v>
      </c>
      <c r="F29" s="10"/>
      <c r="G29" s="10" t="s">
        <v>2171</v>
      </c>
    </row>
    <row r="30" customFormat="false" ht="23.85" hidden="false" customHeight="false" outlineLevel="0" collapsed="false">
      <c r="A30" s="10" t="s">
        <v>2147</v>
      </c>
      <c r="B30" s="10" t="s">
        <v>2183</v>
      </c>
      <c r="C30" s="35" t="n">
        <v>46524</v>
      </c>
      <c r="D30" s="35" t="n">
        <v>46552</v>
      </c>
      <c r="E30" s="10" t="n">
        <f aca="false">D30-C30</f>
        <v>28</v>
      </c>
      <c r="F30" s="10"/>
      <c r="G30" s="10" t="s">
        <v>2166</v>
      </c>
    </row>
    <row r="31" customFormat="false" ht="35.05" hidden="false" customHeight="false" outlineLevel="0" collapsed="false">
      <c r="A31" s="10" t="s">
        <v>2152</v>
      </c>
      <c r="B31" s="10" t="s">
        <v>2184</v>
      </c>
      <c r="C31" s="35" t="n">
        <v>46552</v>
      </c>
      <c r="D31" s="35" t="n">
        <v>46629</v>
      </c>
      <c r="E31" s="10" t="n">
        <f aca="false">D31-C31</f>
        <v>77</v>
      </c>
      <c r="F31" s="10"/>
      <c r="G31" s="10" t="s">
        <v>2166</v>
      </c>
    </row>
    <row r="32" customFormat="false" ht="23.85" hidden="false" customHeight="false" outlineLevel="0" collapsed="false">
      <c r="A32" s="10" t="s">
        <v>2152</v>
      </c>
      <c r="B32" s="10" t="s">
        <v>2185</v>
      </c>
      <c r="C32" s="35" t="n">
        <v>46552</v>
      </c>
      <c r="D32" s="35" t="n">
        <v>46654</v>
      </c>
      <c r="E32" s="10" t="n">
        <f aca="false">D32-C32</f>
        <v>102</v>
      </c>
      <c r="F32" s="10"/>
      <c r="G32" s="10" t="s">
        <v>2166</v>
      </c>
    </row>
    <row r="33" customFormat="false" ht="23.85" hidden="false" customHeight="false" outlineLevel="0" collapsed="false">
      <c r="A33" s="10" t="s">
        <v>2152</v>
      </c>
      <c r="B33" s="10" t="s">
        <v>2186</v>
      </c>
      <c r="C33" s="35" t="n">
        <v>46524</v>
      </c>
      <c r="D33" s="35" t="n">
        <v>46647</v>
      </c>
      <c r="E33" s="10" t="n">
        <f aca="false">D33-C33</f>
        <v>123</v>
      </c>
      <c r="F33" s="10" t="s">
        <v>94</v>
      </c>
      <c r="G33" s="10" t="s">
        <v>2166</v>
      </c>
    </row>
    <row r="34" customFormat="false" ht="35.05" hidden="false" customHeight="false" outlineLevel="0" collapsed="false">
      <c r="A34" s="10" t="s">
        <v>2152</v>
      </c>
      <c r="B34" s="10" t="s">
        <v>2187</v>
      </c>
      <c r="C34" s="35" t="n">
        <v>46573</v>
      </c>
      <c r="D34" s="35" t="n">
        <v>46660</v>
      </c>
      <c r="E34" s="10" t="n">
        <f aca="false">D34-C34</f>
        <v>87</v>
      </c>
      <c r="F34" s="10"/>
      <c r="G34" s="10" t="s">
        <v>2166</v>
      </c>
    </row>
    <row r="35" customFormat="false" ht="23.85" hidden="false" customHeight="false" outlineLevel="0" collapsed="false">
      <c r="A35" s="10" t="s">
        <v>2152</v>
      </c>
      <c r="B35" s="10" t="s">
        <v>2188</v>
      </c>
      <c r="C35" s="35" t="n">
        <v>46615</v>
      </c>
      <c r="D35" s="35" t="n">
        <v>46654</v>
      </c>
      <c r="E35" s="10" t="n">
        <f aca="false">D35-C35</f>
        <v>39</v>
      </c>
      <c r="F35" s="10"/>
      <c r="G35" s="10" t="s">
        <v>2166</v>
      </c>
    </row>
    <row r="36" customFormat="false" ht="23.85" hidden="false" customHeight="false" outlineLevel="0" collapsed="false">
      <c r="A36" s="10" t="s">
        <v>2152</v>
      </c>
      <c r="B36" s="10" t="s">
        <v>2189</v>
      </c>
      <c r="C36" s="35" t="n">
        <v>46629</v>
      </c>
      <c r="D36" s="35" t="n">
        <v>46629</v>
      </c>
      <c r="E36" s="10" t="n">
        <f aca="false">D36-C36</f>
        <v>0</v>
      </c>
      <c r="F36" s="10"/>
      <c r="G36" s="10" t="s">
        <v>2171</v>
      </c>
    </row>
    <row r="37" customFormat="false" ht="15" hidden="false" customHeight="false" outlineLevel="0" collapsed="false">
      <c r="A37" s="10" t="s">
        <v>2152</v>
      </c>
      <c r="B37" s="10" t="s">
        <v>2190</v>
      </c>
      <c r="C37" s="35" t="n">
        <v>46672</v>
      </c>
      <c r="D37" s="35" t="n">
        <v>46672</v>
      </c>
      <c r="E37" s="10" t="n">
        <f aca="false">D37-C37</f>
        <v>0</v>
      </c>
      <c r="F37" s="10" t="s">
        <v>94</v>
      </c>
      <c r="G37" s="10" t="s">
        <v>2171</v>
      </c>
    </row>
    <row r="38" customFormat="false" ht="35.05" hidden="false" customHeight="false" outlineLevel="0" collapsed="false">
      <c r="A38" s="10" t="s">
        <v>2157</v>
      </c>
      <c r="B38" s="10" t="s">
        <v>2191</v>
      </c>
      <c r="C38" s="35" t="n">
        <v>46672</v>
      </c>
      <c r="D38" s="35" t="n">
        <v>46934</v>
      </c>
      <c r="E38" s="10" t="n">
        <f aca="false">D38-C38</f>
        <v>262</v>
      </c>
      <c r="F38" s="10"/>
      <c r="G38" s="10" t="s">
        <v>2166</v>
      </c>
    </row>
    <row r="39" customFormat="false" ht="23.85" hidden="false" customHeight="false" outlineLevel="0" collapsed="false">
      <c r="A39" s="10" t="s">
        <v>2157</v>
      </c>
      <c r="B39" s="10" t="s">
        <v>2192</v>
      </c>
      <c r="C39" s="35" t="n">
        <v>46722</v>
      </c>
      <c r="D39" s="35" t="n">
        <v>46934</v>
      </c>
      <c r="E39" s="10" t="n">
        <f aca="false">D39-C39</f>
        <v>212</v>
      </c>
      <c r="F39" s="10"/>
      <c r="G39" s="10" t="s">
        <v>2166</v>
      </c>
    </row>
    <row r="40" customFormat="false" ht="15" hidden="false" customHeight="false" outlineLevel="0" collapsed="false">
      <c r="A40" s="10" t="s">
        <v>2157</v>
      </c>
      <c r="B40" s="10" t="s">
        <v>2193</v>
      </c>
      <c r="C40" s="35" t="n">
        <v>46762</v>
      </c>
      <c r="D40" s="35" t="n">
        <v>46871</v>
      </c>
      <c r="E40" s="10" t="n">
        <f aca="false">D40-C40</f>
        <v>109</v>
      </c>
      <c r="F40" s="10"/>
      <c r="G40" s="10" t="s">
        <v>2166</v>
      </c>
    </row>
    <row r="41" customFormat="false" ht="23.85" hidden="false" customHeight="false" outlineLevel="0" collapsed="false">
      <c r="A41" s="10" t="s">
        <v>2157</v>
      </c>
      <c r="B41" s="10" t="s">
        <v>2194</v>
      </c>
      <c r="C41" s="35" t="n">
        <v>46813</v>
      </c>
      <c r="D41" s="35" t="n">
        <v>46934</v>
      </c>
      <c r="E41" s="10" t="n">
        <f aca="false">D41-C41</f>
        <v>121</v>
      </c>
      <c r="F41" s="10"/>
      <c r="G41" s="10" t="s">
        <v>2166</v>
      </c>
    </row>
    <row r="43" customFormat="false" ht="15" hidden="false" customHeight="false" outlineLevel="0" collapsed="false">
      <c r="A43" s="6" t="s">
        <v>2195</v>
      </c>
    </row>
    <row r="44" customFormat="false" ht="26.85" hidden="false" customHeight="false" outlineLevel="0" collapsed="false">
      <c r="A44" s="9" t="s">
        <v>2196</v>
      </c>
      <c r="B44" s="9" t="s">
        <v>2197</v>
      </c>
      <c r="C44" s="9" t="s">
        <v>2198</v>
      </c>
      <c r="D44" s="9" t="s">
        <v>2199</v>
      </c>
      <c r="E44" s="9" t="s">
        <v>2200</v>
      </c>
      <c r="F44" s="9" t="s">
        <v>2201</v>
      </c>
      <c r="G44" s="9" t="s">
        <v>1982</v>
      </c>
    </row>
    <row r="45" customFormat="false" ht="15" hidden="false" customHeight="false" outlineLevel="0" collapsed="false">
      <c r="A45" s="36" t="s">
        <v>2202</v>
      </c>
      <c r="B45" s="37" t="n">
        <v>1</v>
      </c>
      <c r="C45" s="37" t="n">
        <v>1</v>
      </c>
      <c r="D45" s="37" t="n">
        <v>1</v>
      </c>
      <c r="E45" s="37" t="n">
        <v>1</v>
      </c>
      <c r="F45" s="37" t="n">
        <v>1</v>
      </c>
      <c r="G45" s="36" t="s">
        <v>2203</v>
      </c>
    </row>
    <row r="46" customFormat="false" ht="15" hidden="false" customHeight="false" outlineLevel="0" collapsed="false">
      <c r="A46" s="36" t="s">
        <v>2204</v>
      </c>
      <c r="B46" s="37" t="n">
        <v>0.5</v>
      </c>
      <c r="C46" s="37" t="n">
        <v>1</v>
      </c>
      <c r="D46" s="37" t="n">
        <v>1</v>
      </c>
      <c r="E46" s="37" t="n">
        <v>0.5</v>
      </c>
      <c r="F46" s="37" t="n">
        <v>0.5</v>
      </c>
      <c r="G46" s="36" t="s">
        <v>2205</v>
      </c>
    </row>
    <row r="47" customFormat="false" ht="15" hidden="false" customHeight="false" outlineLevel="0" collapsed="false">
      <c r="A47" s="36" t="s">
        <v>2206</v>
      </c>
      <c r="B47" s="37" t="n">
        <v>0</v>
      </c>
      <c r="C47" s="37" t="n">
        <v>0</v>
      </c>
      <c r="D47" s="37" t="n">
        <v>1</v>
      </c>
      <c r="E47" s="37" t="n">
        <v>0.5</v>
      </c>
      <c r="F47" s="37" t="n">
        <v>0.5</v>
      </c>
      <c r="G47" s="36" t="s">
        <v>2207</v>
      </c>
    </row>
    <row r="48" customFormat="false" ht="15" hidden="false" customHeight="false" outlineLevel="0" collapsed="false">
      <c r="A48" s="36" t="s">
        <v>2208</v>
      </c>
      <c r="B48" s="37" t="n">
        <v>1</v>
      </c>
      <c r="C48" s="37" t="n">
        <v>1</v>
      </c>
      <c r="D48" s="37" t="n">
        <v>1</v>
      </c>
      <c r="E48" s="37" t="n">
        <v>1</v>
      </c>
      <c r="F48" s="37" t="n">
        <v>1</v>
      </c>
      <c r="G48" s="36" t="s">
        <v>2209</v>
      </c>
    </row>
    <row r="49" customFormat="false" ht="15" hidden="false" customHeight="false" outlineLevel="0" collapsed="false">
      <c r="A49" s="36" t="s">
        <v>2210</v>
      </c>
      <c r="B49" s="37" t="n">
        <v>0.25</v>
      </c>
      <c r="C49" s="37" t="n">
        <v>0.6</v>
      </c>
      <c r="D49" s="37" t="n">
        <v>2</v>
      </c>
      <c r="E49" s="37" t="n">
        <v>1.5</v>
      </c>
      <c r="F49" s="37" t="n">
        <v>2</v>
      </c>
      <c r="G49" s="36" t="s">
        <v>2211</v>
      </c>
    </row>
    <row r="50" customFormat="false" ht="15" hidden="false" customHeight="false" outlineLevel="0" collapsed="false">
      <c r="A50" s="36" t="s">
        <v>2212</v>
      </c>
      <c r="B50" s="37" t="n">
        <v>0.25</v>
      </c>
      <c r="C50" s="37" t="n">
        <v>0.3</v>
      </c>
      <c r="D50" s="37" t="n">
        <v>1</v>
      </c>
      <c r="E50" s="37" t="n">
        <v>0.5</v>
      </c>
      <c r="F50" s="37" t="n">
        <v>1</v>
      </c>
      <c r="G50" s="36"/>
    </row>
    <row r="51" customFormat="false" ht="15" hidden="false" customHeight="false" outlineLevel="0" collapsed="false">
      <c r="A51" s="36" t="s">
        <v>2213</v>
      </c>
      <c r="B51" s="37" t="n">
        <v>0</v>
      </c>
      <c r="C51" s="37" t="n">
        <v>0.3</v>
      </c>
      <c r="D51" s="37" t="n">
        <v>1</v>
      </c>
      <c r="E51" s="37" t="n">
        <v>0.5</v>
      </c>
      <c r="F51" s="37" t="n">
        <v>0.5</v>
      </c>
      <c r="G51" s="36" t="s">
        <v>2214</v>
      </c>
    </row>
    <row r="52" customFormat="false" ht="15" hidden="false" customHeight="false" outlineLevel="0" collapsed="false">
      <c r="A52" s="36" t="s">
        <v>2215</v>
      </c>
      <c r="B52" s="37" t="n">
        <v>0</v>
      </c>
      <c r="C52" s="37" t="n">
        <v>0.2</v>
      </c>
      <c r="D52" s="37" t="n">
        <v>1</v>
      </c>
      <c r="E52" s="37" t="n">
        <v>0.5</v>
      </c>
      <c r="F52" s="37" t="n">
        <v>0.5</v>
      </c>
      <c r="G52" s="36" t="s">
        <v>2216</v>
      </c>
    </row>
    <row r="53" customFormat="false" ht="15" hidden="false" customHeight="false" outlineLevel="0" collapsed="false">
      <c r="A53" s="36" t="s">
        <v>2217</v>
      </c>
      <c r="B53" s="37" t="n">
        <v>0</v>
      </c>
      <c r="C53" s="37" t="n">
        <v>0</v>
      </c>
      <c r="D53" s="37" t="n">
        <v>0.5</v>
      </c>
      <c r="E53" s="37" t="n">
        <v>0.25</v>
      </c>
      <c r="F53" s="37" t="n">
        <v>0.25</v>
      </c>
      <c r="G53" s="36"/>
    </row>
    <row r="54" customFormat="false" ht="15" hidden="false" customHeight="false" outlineLevel="0" collapsed="false">
      <c r="A54" s="36" t="s">
        <v>2218</v>
      </c>
      <c r="B54" s="37" t="n">
        <v>0</v>
      </c>
      <c r="C54" s="37" t="n">
        <v>0</v>
      </c>
      <c r="D54" s="37" t="n">
        <v>0.5</v>
      </c>
      <c r="E54" s="37" t="n">
        <v>0.5</v>
      </c>
      <c r="F54" s="37" t="n">
        <v>0.5</v>
      </c>
      <c r="G54" s="36" t="s">
        <v>2219</v>
      </c>
    </row>
    <row r="55" customFormat="false" ht="15" hidden="false" customHeight="false" outlineLevel="0" collapsed="false">
      <c r="A55" s="36" t="s">
        <v>2220</v>
      </c>
      <c r="B55" s="37" t="n">
        <v>0</v>
      </c>
      <c r="C55" s="37" t="n">
        <v>0</v>
      </c>
      <c r="D55" s="37" t="n">
        <v>0.5</v>
      </c>
      <c r="E55" s="37" t="n">
        <v>0.5</v>
      </c>
      <c r="F55" s="37" t="n">
        <v>1</v>
      </c>
      <c r="G55" s="36" t="s">
        <v>2221</v>
      </c>
    </row>
    <row r="56" customFormat="false" ht="15" hidden="false" customHeight="false" outlineLevel="0" collapsed="false">
      <c r="A56" s="36" t="s">
        <v>2222</v>
      </c>
      <c r="B56" s="37" t="n">
        <v>0</v>
      </c>
      <c r="C56" s="37" t="n">
        <v>0</v>
      </c>
      <c r="D56" s="37" t="n">
        <v>0</v>
      </c>
      <c r="E56" s="37" t="n">
        <v>0.25</v>
      </c>
      <c r="F56" s="37" t="n">
        <v>0.25</v>
      </c>
      <c r="G56" s="36" t="s">
        <v>2223</v>
      </c>
    </row>
    <row r="57" customFormat="false" ht="135.8" hidden="false" customHeight="false" outlineLevel="0" collapsed="false">
      <c r="A57" s="28" t="s">
        <v>2224</v>
      </c>
      <c r="B57" s="38" t="n">
        <f aca="false">SUM(B45:B56)</f>
        <v>3</v>
      </c>
      <c r="C57" s="38" t="n">
        <f aca="false">SUM(C45:C56)</f>
        <v>4.4</v>
      </c>
      <c r="D57" s="38" t="n">
        <f aca="false">SUM(D45:D56)</f>
        <v>10.5</v>
      </c>
      <c r="E57" s="38" t="n">
        <f aca="false">SUM(E45:E56)</f>
        <v>7.5</v>
      </c>
      <c r="F57" s="38" t="n">
        <f aca="false">SUM(F45:F56)</f>
        <v>9</v>
      </c>
      <c r="G57" s="39" t="s">
        <v>2225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36"/>
    <col collapsed="false" customWidth="true" hidden="false" outlineLevel="0" max="6" min="6" style="0" width="46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2" t="s">
        <v>2226</v>
      </c>
    </row>
    <row r="2" customFormat="false" ht="15" hidden="false" customHeight="false" outlineLevel="0" collapsed="false">
      <c r="A2" s="13" t="s">
        <v>2227</v>
      </c>
    </row>
    <row r="4" customFormat="false" ht="15" hidden="false" customHeight="false" outlineLevel="0" collapsed="false">
      <c r="A4" s="9" t="s">
        <v>23</v>
      </c>
      <c r="B4" s="9" t="s">
        <v>2228</v>
      </c>
      <c r="C4" s="9" t="s">
        <v>2229</v>
      </c>
      <c r="D4" s="9" t="s">
        <v>2230</v>
      </c>
      <c r="E4" s="9" t="s">
        <v>2231</v>
      </c>
      <c r="F4" s="9" t="s">
        <v>2232</v>
      </c>
      <c r="G4" s="9" t="s">
        <v>2233</v>
      </c>
    </row>
    <row r="5" customFormat="false" ht="23.85" hidden="false" customHeight="false" outlineLevel="0" collapsed="false">
      <c r="A5" s="10" t="s">
        <v>2234</v>
      </c>
      <c r="B5" s="10" t="s">
        <v>2235</v>
      </c>
      <c r="C5" s="10" t="s">
        <v>2236</v>
      </c>
      <c r="D5" s="10" t="s">
        <v>2237</v>
      </c>
      <c r="E5" s="10" t="s">
        <v>2238</v>
      </c>
      <c r="F5" s="10" t="s">
        <v>2239</v>
      </c>
      <c r="G5" s="10" t="s">
        <v>2240</v>
      </c>
    </row>
    <row r="6" customFormat="false" ht="23.85" hidden="false" customHeight="false" outlineLevel="0" collapsed="false">
      <c r="A6" s="10" t="s">
        <v>2241</v>
      </c>
      <c r="B6" s="10" t="s">
        <v>2235</v>
      </c>
      <c r="C6" s="10" t="s">
        <v>2242</v>
      </c>
      <c r="D6" s="10" t="s">
        <v>2243</v>
      </c>
      <c r="E6" s="10" t="s">
        <v>2244</v>
      </c>
      <c r="F6" s="10" t="s">
        <v>2245</v>
      </c>
      <c r="G6" s="10" t="s">
        <v>2240</v>
      </c>
    </row>
    <row r="7" customFormat="false" ht="15" hidden="false" customHeight="false" outlineLevel="0" collapsed="false">
      <c r="A7" s="10" t="s">
        <v>2246</v>
      </c>
      <c r="B7" s="10" t="s">
        <v>2247</v>
      </c>
      <c r="C7" s="10" t="s">
        <v>2248</v>
      </c>
      <c r="D7" s="10" t="s">
        <v>2249</v>
      </c>
      <c r="E7" s="10" t="s">
        <v>2250</v>
      </c>
      <c r="F7" s="10" t="s">
        <v>2251</v>
      </c>
      <c r="G7" s="10" t="s">
        <v>2252</v>
      </c>
    </row>
    <row r="8" customFormat="false" ht="15" hidden="false" customHeight="false" outlineLevel="0" collapsed="false">
      <c r="A8" s="10" t="s">
        <v>2253</v>
      </c>
      <c r="B8" s="10" t="s">
        <v>2247</v>
      </c>
      <c r="C8" s="10" t="s">
        <v>2254</v>
      </c>
      <c r="D8" s="10" t="s">
        <v>2255</v>
      </c>
      <c r="E8" s="10" t="s">
        <v>2256</v>
      </c>
      <c r="F8" s="10" t="s">
        <v>2257</v>
      </c>
      <c r="G8" s="10" t="s">
        <v>2252</v>
      </c>
    </row>
    <row r="9" customFormat="false" ht="15" hidden="false" customHeight="false" outlineLevel="0" collapsed="false">
      <c r="A9" s="10" t="s">
        <v>2258</v>
      </c>
      <c r="B9" s="10" t="s">
        <v>2247</v>
      </c>
      <c r="C9" s="10" t="s">
        <v>2259</v>
      </c>
      <c r="D9" s="10" t="s">
        <v>2260</v>
      </c>
      <c r="E9" s="10" t="s">
        <v>2261</v>
      </c>
      <c r="F9" s="10" t="s">
        <v>2262</v>
      </c>
      <c r="G9" s="10" t="s">
        <v>2252</v>
      </c>
    </row>
    <row r="10" customFormat="false" ht="23.85" hidden="false" customHeight="false" outlineLevel="0" collapsed="false">
      <c r="A10" s="10" t="s">
        <v>2263</v>
      </c>
      <c r="B10" s="10" t="s">
        <v>2247</v>
      </c>
      <c r="C10" s="10" t="s">
        <v>2264</v>
      </c>
      <c r="D10" s="10" t="s">
        <v>2265</v>
      </c>
      <c r="E10" s="10" t="s">
        <v>2266</v>
      </c>
      <c r="F10" s="10" t="s">
        <v>2267</v>
      </c>
      <c r="G10" s="10" t="s">
        <v>2252</v>
      </c>
    </row>
    <row r="11" customFormat="false" ht="15" hidden="false" customHeight="false" outlineLevel="0" collapsed="false">
      <c r="A11" s="10" t="s">
        <v>2268</v>
      </c>
      <c r="B11" s="10" t="s">
        <v>2247</v>
      </c>
      <c r="C11" s="10" t="s">
        <v>2269</v>
      </c>
      <c r="D11" s="10" t="s">
        <v>2270</v>
      </c>
      <c r="E11" s="10" t="s">
        <v>2271</v>
      </c>
      <c r="F11" s="10" t="s">
        <v>2272</v>
      </c>
      <c r="G11" s="10" t="s">
        <v>2252</v>
      </c>
    </row>
    <row r="12" customFormat="false" ht="15" hidden="false" customHeight="false" outlineLevel="0" collapsed="false">
      <c r="A12" s="10" t="s">
        <v>2273</v>
      </c>
      <c r="B12" s="10" t="s">
        <v>2247</v>
      </c>
      <c r="C12" s="10" t="s">
        <v>2274</v>
      </c>
      <c r="D12" s="10" t="s">
        <v>2275</v>
      </c>
      <c r="E12" s="10" t="s">
        <v>2276</v>
      </c>
      <c r="F12" s="10" t="s">
        <v>2277</v>
      </c>
      <c r="G12" s="10" t="s">
        <v>2252</v>
      </c>
    </row>
    <row r="13" customFormat="false" ht="15" hidden="false" customHeight="false" outlineLevel="0" collapsed="false">
      <c r="A13" s="10" t="s">
        <v>2278</v>
      </c>
      <c r="B13" s="10" t="s">
        <v>2247</v>
      </c>
      <c r="C13" s="10" t="s">
        <v>2279</v>
      </c>
      <c r="D13" s="10" t="s">
        <v>2280</v>
      </c>
      <c r="E13" s="10" t="s">
        <v>2281</v>
      </c>
      <c r="F13" s="10" t="s">
        <v>2277</v>
      </c>
      <c r="G13" s="10" t="s">
        <v>2252</v>
      </c>
    </row>
    <row r="14" customFormat="false" ht="15" hidden="false" customHeight="false" outlineLevel="0" collapsed="false">
      <c r="A14" s="10" t="s">
        <v>2282</v>
      </c>
      <c r="B14" s="10" t="s">
        <v>2247</v>
      </c>
      <c r="C14" s="10" t="s">
        <v>2283</v>
      </c>
      <c r="D14" s="10" t="s">
        <v>2284</v>
      </c>
      <c r="E14" s="10" t="s">
        <v>2285</v>
      </c>
      <c r="F14" s="10" t="s">
        <v>2277</v>
      </c>
      <c r="G14" s="10" t="s">
        <v>2252</v>
      </c>
    </row>
    <row r="15" customFormat="false" ht="15" hidden="false" customHeight="false" outlineLevel="0" collapsed="false">
      <c r="A15" s="10" t="s">
        <v>2286</v>
      </c>
      <c r="B15" s="10" t="s">
        <v>2287</v>
      </c>
      <c r="C15" s="10" t="s">
        <v>2288</v>
      </c>
      <c r="D15" s="10" t="s">
        <v>2289</v>
      </c>
      <c r="E15" s="10" t="s">
        <v>2290</v>
      </c>
      <c r="F15" s="10" t="s">
        <v>2291</v>
      </c>
      <c r="G15" s="10" t="s">
        <v>2292</v>
      </c>
    </row>
    <row r="16" customFormat="false" ht="15" hidden="false" customHeight="false" outlineLevel="0" collapsed="false">
      <c r="A16" s="10" t="s">
        <v>2293</v>
      </c>
      <c r="B16" s="10" t="s">
        <v>2287</v>
      </c>
      <c r="C16" s="10" t="s">
        <v>2294</v>
      </c>
      <c r="D16" s="10" t="s">
        <v>2295</v>
      </c>
      <c r="E16" s="10" t="s">
        <v>2296</v>
      </c>
      <c r="F16" s="10" t="s">
        <v>2297</v>
      </c>
      <c r="G16" s="10" t="s">
        <v>2292</v>
      </c>
    </row>
    <row r="17" customFormat="false" ht="15" hidden="false" customHeight="false" outlineLevel="0" collapsed="false">
      <c r="A17" s="10" t="s">
        <v>2298</v>
      </c>
      <c r="B17" s="10" t="s">
        <v>2287</v>
      </c>
      <c r="C17" s="10" t="s">
        <v>2299</v>
      </c>
      <c r="D17" s="10" t="s">
        <v>2300</v>
      </c>
      <c r="E17" s="10" t="s">
        <v>2301</v>
      </c>
      <c r="F17" s="10" t="s">
        <v>2302</v>
      </c>
      <c r="G17" s="10" t="s">
        <v>2292</v>
      </c>
    </row>
    <row r="18" customFormat="false" ht="15" hidden="false" customHeight="false" outlineLevel="0" collapsed="false">
      <c r="A18" s="10" t="s">
        <v>2303</v>
      </c>
      <c r="B18" s="10" t="s">
        <v>2287</v>
      </c>
      <c r="C18" s="10" t="s">
        <v>2304</v>
      </c>
      <c r="D18" s="10" t="s">
        <v>2305</v>
      </c>
      <c r="E18" s="10" t="s">
        <v>2306</v>
      </c>
      <c r="F18" s="10" t="s">
        <v>2307</v>
      </c>
      <c r="G18" s="10" t="s">
        <v>2292</v>
      </c>
    </row>
    <row r="19" customFormat="false" ht="15" hidden="false" customHeight="false" outlineLevel="0" collapsed="false">
      <c r="A19" s="10" t="s">
        <v>2308</v>
      </c>
      <c r="B19" s="10" t="s">
        <v>2287</v>
      </c>
      <c r="C19" s="10" t="s">
        <v>2309</v>
      </c>
      <c r="D19" s="10" t="s">
        <v>2310</v>
      </c>
      <c r="E19" s="10" t="s">
        <v>2311</v>
      </c>
      <c r="F19" s="10" t="s">
        <v>2312</v>
      </c>
      <c r="G19" s="10" t="s">
        <v>2292</v>
      </c>
    </row>
    <row r="20" customFormat="false" ht="15" hidden="false" customHeight="false" outlineLevel="0" collapsed="false">
      <c r="A20" s="10" t="s">
        <v>2313</v>
      </c>
      <c r="B20" s="10" t="s">
        <v>2287</v>
      </c>
      <c r="C20" s="10" t="s">
        <v>2314</v>
      </c>
      <c r="D20" s="10" t="s">
        <v>2315</v>
      </c>
      <c r="E20" s="10" t="s">
        <v>2316</v>
      </c>
      <c r="F20" s="10" t="s">
        <v>2317</v>
      </c>
      <c r="G20" s="10" t="s">
        <v>2292</v>
      </c>
    </row>
    <row r="21" customFormat="false" ht="15" hidden="false" customHeight="false" outlineLevel="0" collapsed="false">
      <c r="A21" s="10" t="s">
        <v>2318</v>
      </c>
      <c r="B21" s="10" t="s">
        <v>2287</v>
      </c>
      <c r="C21" s="10" t="s">
        <v>2319</v>
      </c>
      <c r="D21" s="10" t="s">
        <v>2320</v>
      </c>
      <c r="E21" s="10" t="s">
        <v>2321</v>
      </c>
      <c r="F21" s="10" t="s">
        <v>1675</v>
      </c>
      <c r="G21" s="10" t="s">
        <v>2292</v>
      </c>
    </row>
    <row r="22" customFormat="false" ht="23.85" hidden="false" customHeight="false" outlineLevel="0" collapsed="false">
      <c r="A22" s="10" t="s">
        <v>2322</v>
      </c>
      <c r="B22" s="10" t="s">
        <v>2287</v>
      </c>
      <c r="C22" s="10" t="s">
        <v>2323</v>
      </c>
      <c r="D22" s="10" t="s">
        <v>2324</v>
      </c>
      <c r="E22" s="10" t="s">
        <v>2325</v>
      </c>
      <c r="F22" s="10" t="s">
        <v>2326</v>
      </c>
      <c r="G22" s="10" t="s">
        <v>2292</v>
      </c>
    </row>
    <row r="23" customFormat="false" ht="15" hidden="false" customHeight="false" outlineLevel="0" collapsed="false">
      <c r="A23" s="10" t="s">
        <v>2327</v>
      </c>
      <c r="B23" s="10" t="s">
        <v>2287</v>
      </c>
      <c r="C23" s="10" t="s">
        <v>2328</v>
      </c>
      <c r="D23" s="10" t="s">
        <v>2329</v>
      </c>
      <c r="E23" s="10" t="s">
        <v>2330</v>
      </c>
      <c r="F23" s="10" t="s">
        <v>2326</v>
      </c>
      <c r="G23" s="10" t="s">
        <v>2292</v>
      </c>
    </row>
    <row r="24" customFormat="false" ht="15" hidden="false" customHeight="false" outlineLevel="0" collapsed="false">
      <c r="A24" s="10" t="s">
        <v>2331</v>
      </c>
      <c r="B24" s="10" t="s">
        <v>2287</v>
      </c>
      <c r="C24" s="10" t="s">
        <v>2332</v>
      </c>
      <c r="D24" s="10" t="s">
        <v>2333</v>
      </c>
      <c r="E24" s="10" t="s">
        <v>2330</v>
      </c>
      <c r="F24" s="10" t="s">
        <v>2334</v>
      </c>
      <c r="G24" s="10" t="s">
        <v>2292</v>
      </c>
    </row>
    <row r="25" customFormat="false" ht="15" hidden="false" customHeight="false" outlineLevel="0" collapsed="false">
      <c r="A25" s="10" t="s">
        <v>2335</v>
      </c>
      <c r="B25" s="10" t="s">
        <v>2336</v>
      </c>
      <c r="C25" s="10" t="s">
        <v>2337</v>
      </c>
      <c r="D25" s="10" t="s">
        <v>2338</v>
      </c>
      <c r="E25" s="10" t="s">
        <v>2339</v>
      </c>
      <c r="F25" s="10" t="s">
        <v>2340</v>
      </c>
      <c r="G25" s="10" t="s">
        <v>2341</v>
      </c>
    </row>
    <row r="26" customFormat="false" ht="15" hidden="false" customHeight="false" outlineLevel="0" collapsed="false">
      <c r="A26" s="10" t="s">
        <v>2342</v>
      </c>
      <c r="B26" s="10" t="s">
        <v>2336</v>
      </c>
      <c r="C26" s="10" t="s">
        <v>2343</v>
      </c>
      <c r="D26" s="10" t="s">
        <v>2344</v>
      </c>
      <c r="E26" s="10" t="s">
        <v>2345</v>
      </c>
      <c r="F26" s="10" t="s">
        <v>2346</v>
      </c>
      <c r="G26" s="10" t="s">
        <v>2341</v>
      </c>
    </row>
    <row r="27" customFormat="false" ht="23.85" hidden="false" customHeight="false" outlineLevel="0" collapsed="false">
      <c r="A27" s="10" t="s">
        <v>2347</v>
      </c>
      <c r="B27" s="10" t="s">
        <v>2336</v>
      </c>
      <c r="C27" s="10" t="s">
        <v>2348</v>
      </c>
      <c r="D27" s="10" t="s">
        <v>2349</v>
      </c>
      <c r="E27" s="10" t="s">
        <v>2350</v>
      </c>
      <c r="F27" s="10" t="s">
        <v>2351</v>
      </c>
      <c r="G27" s="10" t="s">
        <v>2341</v>
      </c>
    </row>
    <row r="28" customFormat="false" ht="15" hidden="false" customHeight="false" outlineLevel="0" collapsed="false">
      <c r="A28" s="10" t="s">
        <v>2352</v>
      </c>
      <c r="B28" s="10" t="s">
        <v>2336</v>
      </c>
      <c r="C28" s="10" t="s">
        <v>2353</v>
      </c>
      <c r="D28" s="10" t="s">
        <v>2354</v>
      </c>
      <c r="E28" s="10" t="s">
        <v>2355</v>
      </c>
      <c r="F28" s="10" t="s">
        <v>2356</v>
      </c>
      <c r="G28" s="10" t="s">
        <v>2341</v>
      </c>
    </row>
    <row r="29" customFormat="false" ht="15" hidden="false" customHeight="false" outlineLevel="0" collapsed="false">
      <c r="A29" s="10" t="s">
        <v>2357</v>
      </c>
      <c r="B29" s="10" t="s">
        <v>2336</v>
      </c>
      <c r="C29" s="10" t="s">
        <v>2358</v>
      </c>
      <c r="D29" s="10" t="s">
        <v>2359</v>
      </c>
      <c r="E29" s="10" t="s">
        <v>2360</v>
      </c>
      <c r="F29" s="10" t="s">
        <v>2361</v>
      </c>
      <c r="G29" s="10" t="s">
        <v>2341</v>
      </c>
    </row>
    <row r="30" customFormat="false" ht="23.85" hidden="false" customHeight="false" outlineLevel="0" collapsed="false">
      <c r="A30" s="10" t="s">
        <v>2362</v>
      </c>
      <c r="B30" s="10" t="s">
        <v>2363</v>
      </c>
      <c r="C30" s="10" t="s">
        <v>2364</v>
      </c>
      <c r="D30" s="10" t="s">
        <v>2365</v>
      </c>
      <c r="E30" s="10" t="s">
        <v>2366</v>
      </c>
      <c r="F30" s="10" t="s">
        <v>2367</v>
      </c>
      <c r="G30" s="10" t="s">
        <v>2368</v>
      </c>
    </row>
    <row r="31" customFormat="false" ht="15" hidden="false" customHeight="false" outlineLevel="0" collapsed="false">
      <c r="A31" s="10" t="s">
        <v>2369</v>
      </c>
      <c r="B31" s="10" t="s">
        <v>2363</v>
      </c>
      <c r="C31" s="10" t="s">
        <v>2370</v>
      </c>
      <c r="D31" s="10" t="s">
        <v>2371</v>
      </c>
      <c r="E31" s="10" t="s">
        <v>2372</v>
      </c>
      <c r="F31" s="10" t="s">
        <v>2373</v>
      </c>
      <c r="G31" s="10" t="s">
        <v>2374</v>
      </c>
    </row>
    <row r="32" customFormat="false" ht="15" hidden="false" customHeight="false" outlineLevel="0" collapsed="false">
      <c r="A32" s="10" t="s">
        <v>2375</v>
      </c>
      <c r="B32" s="10" t="s">
        <v>2363</v>
      </c>
      <c r="C32" s="10" t="s">
        <v>2376</v>
      </c>
      <c r="D32" s="10" t="s">
        <v>2377</v>
      </c>
      <c r="E32" s="10" t="s">
        <v>2378</v>
      </c>
      <c r="F32" s="10" t="s">
        <v>2379</v>
      </c>
      <c r="G32" s="10" t="s">
        <v>2374</v>
      </c>
    </row>
    <row r="33" customFormat="false" ht="15" hidden="false" customHeight="false" outlineLevel="0" collapsed="false">
      <c r="A33" s="10" t="s">
        <v>2380</v>
      </c>
      <c r="B33" s="10" t="s">
        <v>2363</v>
      </c>
      <c r="C33" s="10" t="s">
        <v>2381</v>
      </c>
      <c r="D33" s="10" t="s">
        <v>2382</v>
      </c>
      <c r="E33" s="10" t="s">
        <v>2383</v>
      </c>
      <c r="F33" s="10" t="s">
        <v>2384</v>
      </c>
      <c r="G33" s="10" t="s">
        <v>2374</v>
      </c>
    </row>
    <row r="34" customFormat="false" ht="23.85" hidden="false" customHeight="false" outlineLevel="0" collapsed="false">
      <c r="A34" s="10" t="s">
        <v>2385</v>
      </c>
      <c r="B34" s="10" t="s">
        <v>2363</v>
      </c>
      <c r="C34" s="10" t="s">
        <v>2386</v>
      </c>
      <c r="D34" s="10" t="s">
        <v>2387</v>
      </c>
      <c r="E34" s="10" t="s">
        <v>2388</v>
      </c>
      <c r="F34" s="10" t="s">
        <v>2389</v>
      </c>
      <c r="G34" s="10" t="s">
        <v>2390</v>
      </c>
    </row>
    <row r="35" customFormat="false" ht="15" hidden="false" customHeight="false" outlineLevel="0" collapsed="false">
      <c r="A35" s="10" t="s">
        <v>2391</v>
      </c>
      <c r="B35" s="10" t="s">
        <v>2363</v>
      </c>
      <c r="C35" s="10" t="s">
        <v>2392</v>
      </c>
      <c r="D35" s="10" t="s">
        <v>2393</v>
      </c>
      <c r="E35" s="10" t="s">
        <v>2394</v>
      </c>
      <c r="F35" s="10" t="s">
        <v>2395</v>
      </c>
      <c r="G35" s="10" t="s">
        <v>2374</v>
      </c>
    </row>
    <row r="36" customFormat="false" ht="15" hidden="false" customHeight="false" outlineLevel="0" collapsed="false">
      <c r="A36" s="10" t="s">
        <v>2396</v>
      </c>
      <c r="B36" s="10" t="s">
        <v>2363</v>
      </c>
      <c r="C36" s="10" t="s">
        <v>2397</v>
      </c>
      <c r="D36" s="10" t="s">
        <v>2398</v>
      </c>
      <c r="E36" s="10" t="s">
        <v>2399</v>
      </c>
      <c r="F36" s="10" t="s">
        <v>2400</v>
      </c>
      <c r="G36" s="10" t="s">
        <v>2374</v>
      </c>
    </row>
    <row r="37" customFormat="false" ht="23.85" hidden="false" customHeight="false" outlineLevel="0" collapsed="false">
      <c r="A37" s="10" t="s">
        <v>2401</v>
      </c>
      <c r="B37" s="10" t="s">
        <v>2363</v>
      </c>
      <c r="C37" s="10" t="s">
        <v>2402</v>
      </c>
      <c r="D37" s="10" t="s">
        <v>2403</v>
      </c>
      <c r="E37" s="10" t="s">
        <v>2404</v>
      </c>
      <c r="F37" s="10" t="s">
        <v>2405</v>
      </c>
      <c r="G37" s="10" t="s">
        <v>2374</v>
      </c>
    </row>
    <row r="38" customFormat="false" ht="15" hidden="false" customHeight="false" outlineLevel="0" collapsed="false">
      <c r="A38" s="10" t="s">
        <v>2406</v>
      </c>
      <c r="B38" s="10" t="s">
        <v>2363</v>
      </c>
      <c r="C38" s="10" t="s">
        <v>2407</v>
      </c>
      <c r="D38" s="10" t="s">
        <v>2408</v>
      </c>
      <c r="E38" s="10" t="s">
        <v>2409</v>
      </c>
      <c r="F38" s="10" t="s">
        <v>2410</v>
      </c>
      <c r="G38" s="10" t="s">
        <v>2374</v>
      </c>
    </row>
    <row r="39" customFormat="false" ht="15" hidden="false" customHeight="false" outlineLevel="0" collapsed="false">
      <c r="A39" s="10" t="s">
        <v>2411</v>
      </c>
      <c r="B39" s="10" t="s">
        <v>2363</v>
      </c>
      <c r="C39" s="10" t="s">
        <v>2412</v>
      </c>
      <c r="D39" s="10" t="s">
        <v>2413</v>
      </c>
      <c r="E39" s="10" t="s">
        <v>2414</v>
      </c>
      <c r="F39" s="10" t="s">
        <v>2291</v>
      </c>
      <c r="G39" s="10" t="s">
        <v>2374</v>
      </c>
    </row>
    <row r="40" customFormat="false" ht="15" hidden="false" customHeight="false" outlineLevel="0" collapsed="false">
      <c r="A40" s="10" t="s">
        <v>2415</v>
      </c>
      <c r="B40" s="10" t="s">
        <v>2416</v>
      </c>
      <c r="C40" s="10" t="s">
        <v>2417</v>
      </c>
      <c r="D40" s="10" t="s">
        <v>2418</v>
      </c>
      <c r="E40" s="10" t="s">
        <v>2419</v>
      </c>
      <c r="F40" s="10" t="s">
        <v>2056</v>
      </c>
      <c r="G40" s="10" t="s">
        <v>2420</v>
      </c>
    </row>
    <row r="41" customFormat="false" ht="15" hidden="false" customHeight="false" outlineLevel="0" collapsed="false">
      <c r="A41" s="10" t="s">
        <v>2421</v>
      </c>
      <c r="B41" s="10" t="s">
        <v>2416</v>
      </c>
      <c r="C41" s="10" t="s">
        <v>2422</v>
      </c>
      <c r="D41" s="10" t="s">
        <v>2423</v>
      </c>
      <c r="E41" s="10" t="s">
        <v>2424</v>
      </c>
      <c r="F41" s="10" t="s">
        <v>2425</v>
      </c>
      <c r="G41" s="10" t="s">
        <v>2420</v>
      </c>
    </row>
    <row r="42" customFormat="false" ht="15" hidden="false" customHeight="false" outlineLevel="0" collapsed="false">
      <c r="A42" s="10" t="s">
        <v>2426</v>
      </c>
      <c r="B42" s="10" t="s">
        <v>2416</v>
      </c>
      <c r="C42" s="10" t="s">
        <v>2427</v>
      </c>
      <c r="D42" s="10" t="s">
        <v>2428</v>
      </c>
      <c r="E42" s="10" t="s">
        <v>2429</v>
      </c>
      <c r="F42" s="10" t="s">
        <v>2430</v>
      </c>
      <c r="G42" s="10" t="s">
        <v>2420</v>
      </c>
    </row>
    <row r="43" customFormat="false" ht="15" hidden="false" customHeight="false" outlineLevel="0" collapsed="false">
      <c r="A43" s="10" t="s">
        <v>2431</v>
      </c>
      <c r="B43" s="10" t="s">
        <v>2416</v>
      </c>
      <c r="C43" s="10" t="s">
        <v>2432</v>
      </c>
      <c r="D43" s="10" t="s">
        <v>2433</v>
      </c>
      <c r="E43" s="10" t="s">
        <v>2434</v>
      </c>
      <c r="F43" s="10" t="s">
        <v>2435</v>
      </c>
      <c r="G43" s="10" t="s">
        <v>2420</v>
      </c>
    </row>
    <row r="44" customFormat="false" ht="15" hidden="false" customHeight="false" outlineLevel="0" collapsed="false">
      <c r="A44" s="10" t="s">
        <v>2436</v>
      </c>
      <c r="B44" s="10" t="s">
        <v>2416</v>
      </c>
      <c r="C44" s="10" t="s">
        <v>2437</v>
      </c>
      <c r="D44" s="10" t="s">
        <v>2438</v>
      </c>
      <c r="E44" s="10" t="s">
        <v>2439</v>
      </c>
      <c r="F44" s="10" t="s">
        <v>2056</v>
      </c>
      <c r="G44" s="10" t="s">
        <v>2420</v>
      </c>
    </row>
    <row r="45" customFormat="false" ht="15" hidden="false" customHeight="false" outlineLevel="0" collapsed="false">
      <c r="A45" s="10" t="s">
        <v>2440</v>
      </c>
      <c r="B45" s="10" t="s">
        <v>2416</v>
      </c>
      <c r="C45" s="10" t="s">
        <v>2441</v>
      </c>
      <c r="D45" s="10" t="s">
        <v>2442</v>
      </c>
      <c r="E45" s="10" t="s">
        <v>2443</v>
      </c>
      <c r="F45" s="10" t="s">
        <v>2444</v>
      </c>
      <c r="G45" s="10" t="s">
        <v>2420</v>
      </c>
    </row>
    <row r="46" customFormat="false" ht="15" hidden="false" customHeight="false" outlineLevel="0" collapsed="false">
      <c r="A46" s="10" t="s">
        <v>2445</v>
      </c>
      <c r="B46" s="10" t="s">
        <v>2416</v>
      </c>
      <c r="C46" s="10" t="s">
        <v>2446</v>
      </c>
      <c r="D46" s="10" t="s">
        <v>2447</v>
      </c>
      <c r="E46" s="10" t="s">
        <v>2448</v>
      </c>
      <c r="F46" s="10" t="s">
        <v>2449</v>
      </c>
      <c r="G46" s="10" t="s">
        <v>2420</v>
      </c>
    </row>
    <row r="47" customFormat="false" ht="15" hidden="false" customHeight="false" outlineLevel="0" collapsed="false">
      <c r="A47" s="10" t="s">
        <v>2450</v>
      </c>
      <c r="B47" s="10" t="s">
        <v>2416</v>
      </c>
      <c r="C47" s="10" t="s">
        <v>2451</v>
      </c>
      <c r="D47" s="10" t="s">
        <v>2452</v>
      </c>
      <c r="E47" s="10" t="s">
        <v>2453</v>
      </c>
      <c r="F47" s="10" t="s">
        <v>2056</v>
      </c>
      <c r="G47" s="10" t="s">
        <v>2420</v>
      </c>
    </row>
    <row r="48" customFormat="false" ht="15" hidden="false" customHeight="false" outlineLevel="0" collapsed="false">
      <c r="A48" s="10" t="s">
        <v>2454</v>
      </c>
      <c r="B48" s="10" t="s">
        <v>2416</v>
      </c>
      <c r="C48" s="10" t="s">
        <v>2455</v>
      </c>
      <c r="D48" s="10" t="s">
        <v>2456</v>
      </c>
      <c r="E48" s="10" t="s">
        <v>2457</v>
      </c>
      <c r="F48" s="10" t="s">
        <v>2056</v>
      </c>
      <c r="G48" s="10" t="s">
        <v>2420</v>
      </c>
    </row>
    <row r="49" customFormat="false" ht="15" hidden="false" customHeight="false" outlineLevel="0" collapsed="false">
      <c r="A49" s="10" t="s">
        <v>2458</v>
      </c>
      <c r="B49" s="10" t="s">
        <v>2416</v>
      </c>
      <c r="C49" s="10" t="s">
        <v>2459</v>
      </c>
      <c r="D49" s="10" t="s">
        <v>2460</v>
      </c>
      <c r="E49" s="10" t="s">
        <v>2461</v>
      </c>
      <c r="F49" s="10" t="s">
        <v>2056</v>
      </c>
      <c r="G49" s="10" t="s">
        <v>2420</v>
      </c>
    </row>
  </sheetData>
  <autoFilter ref="A4:G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2026-10-26T12:19:48Z</dcterms:created>
  <dc:creator>openpyxl</dc:creator>
  <dc:description/>
  <dc:language>en-US</dc:language>
  <cp:lastModifiedBy/>
  <dcterms:modified xsi:type="dcterms:W3CDTF">2026-10-26T12:19:48Z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